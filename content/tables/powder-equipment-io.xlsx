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xr:revisionPtr revIDLastSave="0" documentId="13_ncr:1_{E7442F2C-79AD-43E3-ABFB-12EE344D731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设备清单" sheetId="1" r:id="rId1"/>
    <sheet name="点位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" l="1"/>
  <c r="G16" i="2"/>
  <c r="G15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9" i="2"/>
  <c r="S30" i="2"/>
  <c r="S31" i="2"/>
  <c r="S32" i="2"/>
  <c r="S33" i="2"/>
  <c r="S34" i="2"/>
  <c r="S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9" i="2"/>
  <c r="N30" i="2"/>
  <c r="N31" i="2"/>
  <c r="N32" i="2"/>
  <c r="N33" i="2"/>
  <c r="N34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9" i="2"/>
  <c r="L30" i="2"/>
  <c r="L31" i="2"/>
  <c r="L32" i="2"/>
  <c r="L33" i="2"/>
  <c r="L34" i="2"/>
  <c r="L3" i="2"/>
  <c r="N3" i="2"/>
  <c r="G3" i="2"/>
  <c r="G4" i="2"/>
  <c r="H30" i="2"/>
  <c r="H31" i="2"/>
  <c r="H32" i="2"/>
  <c r="H33" i="2"/>
  <c r="H34" i="2"/>
  <c r="H29" i="2"/>
  <c r="G30" i="2"/>
  <c r="G31" i="2"/>
  <c r="G32" i="2"/>
  <c r="G33" i="2"/>
  <c r="G34" i="2"/>
  <c r="G29" i="2"/>
  <c r="G24" i="2"/>
  <c r="G23" i="2"/>
  <c r="E34" i="2"/>
  <c r="E33" i="2"/>
  <c r="E32" i="2"/>
  <c r="E31" i="2"/>
  <c r="E30" i="2"/>
  <c r="E29" i="2"/>
  <c r="H14" i="2"/>
  <c r="H15" i="2"/>
  <c r="H16" i="2"/>
  <c r="H17" i="2"/>
  <c r="H18" i="2"/>
  <c r="H19" i="2"/>
  <c r="H20" i="2"/>
  <c r="H21" i="2"/>
  <c r="H22" i="2"/>
  <c r="H23" i="2"/>
  <c r="H24" i="2"/>
  <c r="H25" i="2"/>
  <c r="H13" i="2"/>
  <c r="G18" i="2"/>
  <c r="E13" i="2"/>
  <c r="E15" i="2"/>
  <c r="E24" i="2"/>
  <c r="E23" i="2"/>
  <c r="E21" i="2"/>
  <c r="E19" i="2"/>
  <c r="E17" i="2"/>
  <c r="E18" i="2"/>
  <c r="G5" i="2"/>
  <c r="G6" i="2"/>
  <c r="G7" i="2"/>
  <c r="G8" i="2"/>
  <c r="G9" i="2"/>
  <c r="G10" i="2"/>
  <c r="G11" i="2"/>
  <c r="G12" i="2"/>
  <c r="E14" i="2"/>
  <c r="E11" i="2"/>
  <c r="H8" i="2"/>
  <c r="H9" i="2"/>
  <c r="H7" i="2"/>
  <c r="E9" i="2"/>
  <c r="E7" i="2"/>
  <c r="E5" i="2"/>
  <c r="J2" i="1"/>
  <c r="E22" i="2"/>
  <c r="E20" i="2"/>
  <c r="E16" i="2"/>
  <c r="E12" i="2"/>
  <c r="E10" i="2"/>
  <c r="E8" i="2"/>
  <c r="E6" i="2"/>
  <c r="E4" i="2"/>
  <c r="E3" i="2"/>
  <c r="E7" i="1"/>
  <c r="E10" i="1"/>
  <c r="E8" i="1"/>
  <c r="E9" i="1"/>
  <c r="E6" i="1"/>
  <c r="E3" i="1"/>
  <c r="E4" i="1"/>
  <c r="E5" i="1"/>
  <c r="E2" i="1"/>
  <c r="G14" i="2" l="1"/>
  <c r="G13" i="2"/>
  <c r="G21" i="2"/>
  <c r="G20" i="2"/>
  <c r="G22" i="2"/>
  <c r="G19" i="2"/>
  <c r="H11" i="2"/>
  <c r="H5" i="2"/>
  <c r="H4" i="2"/>
  <c r="H6" i="2"/>
  <c r="H10" i="2"/>
  <c r="H12" i="2"/>
  <c r="H3" i="2"/>
  <c r="J8" i="1"/>
  <c r="J4" i="1"/>
  <c r="J9" i="1"/>
  <c r="J10" i="1"/>
  <c r="J5" i="1"/>
  <c r="J3" i="1"/>
  <c r="J7" i="1"/>
  <c r="J6" i="1"/>
</calcChain>
</file>

<file path=xl/sharedStrings.xml><?xml version="1.0" encoding="utf-8"?>
<sst xmlns="http://schemas.openxmlformats.org/spreadsheetml/2006/main" count="225" uniqueCount="66">
  <si>
    <t>编号</t>
    <phoneticPr fontId="1" type="noConversion"/>
  </si>
  <si>
    <t>类型</t>
    <phoneticPr fontId="1" type="noConversion"/>
  </si>
  <si>
    <t>中文名称</t>
    <phoneticPr fontId="1" type="noConversion"/>
  </si>
  <si>
    <t>序号</t>
    <phoneticPr fontId="1" type="noConversion"/>
  </si>
  <si>
    <t>代号</t>
    <phoneticPr fontId="1" type="noConversion"/>
  </si>
  <si>
    <t>DI</t>
    <phoneticPr fontId="1" type="noConversion"/>
  </si>
  <si>
    <t>DO</t>
    <phoneticPr fontId="1" type="noConversion"/>
  </si>
  <si>
    <t>AI</t>
    <phoneticPr fontId="1" type="noConversion"/>
  </si>
  <si>
    <t>AQ</t>
    <phoneticPr fontId="1" type="noConversion"/>
  </si>
  <si>
    <t>名称</t>
    <phoneticPr fontId="1" type="noConversion"/>
  </si>
  <si>
    <t>F</t>
    <phoneticPr fontId="1" type="noConversion"/>
  </si>
  <si>
    <t>集尘风机</t>
    <phoneticPr fontId="1" type="noConversion"/>
  </si>
  <si>
    <t>01</t>
    <phoneticPr fontId="1" type="noConversion"/>
  </si>
  <si>
    <t>03</t>
  </si>
  <si>
    <t>螺旋输送机</t>
    <phoneticPr fontId="1" type="noConversion"/>
  </si>
  <si>
    <t>S</t>
    <phoneticPr fontId="1" type="noConversion"/>
  </si>
  <si>
    <t>02</t>
  </si>
  <si>
    <t>提升机</t>
    <phoneticPr fontId="1" type="noConversion"/>
  </si>
  <si>
    <t>T</t>
    <phoneticPr fontId="1" type="noConversion"/>
  </si>
  <si>
    <t>C</t>
    <phoneticPr fontId="1" type="noConversion"/>
  </si>
  <si>
    <t>A</t>
    <phoneticPr fontId="1" type="noConversion"/>
  </si>
  <si>
    <t>分配器</t>
    <phoneticPr fontId="1" type="noConversion"/>
  </si>
  <si>
    <t>料仓</t>
    <phoneticPr fontId="1" type="noConversion"/>
  </si>
  <si>
    <t>功能</t>
    <phoneticPr fontId="1" type="noConversion"/>
  </si>
  <si>
    <t>变量名</t>
    <phoneticPr fontId="1" type="noConversion"/>
  </si>
  <si>
    <t>地址</t>
    <phoneticPr fontId="1" type="noConversion"/>
  </si>
  <si>
    <t>Running</t>
  </si>
  <si>
    <t>Running</t>
    <phoneticPr fontId="1" type="noConversion"/>
  </si>
  <si>
    <t>Block</t>
    <phoneticPr fontId="1" type="noConversion"/>
  </si>
  <si>
    <t>Sel_A01</t>
    <phoneticPr fontId="1" type="noConversion"/>
  </si>
  <si>
    <t>Sel_A02</t>
    <phoneticPr fontId="1" type="noConversion"/>
  </si>
  <si>
    <t>Sel_A03</t>
    <phoneticPr fontId="1" type="noConversion"/>
  </si>
  <si>
    <t>Sel_Btn</t>
    <phoneticPr fontId="1" type="noConversion"/>
  </si>
  <si>
    <t>02</t>
    <phoneticPr fontId="1" type="noConversion"/>
  </si>
  <si>
    <t>I0.1</t>
  </si>
  <si>
    <t>I0.2</t>
  </si>
  <si>
    <t>I0.3</t>
  </si>
  <si>
    <t>I0.4</t>
  </si>
  <si>
    <t>I0.5</t>
  </si>
  <si>
    <t>I0.6</t>
  </si>
  <si>
    <t>I0.7</t>
  </si>
  <si>
    <t>I1.1</t>
  </si>
  <si>
    <t>I0.0</t>
    <phoneticPr fontId="1" type="noConversion"/>
  </si>
  <si>
    <t>I1.0</t>
    <phoneticPr fontId="1" type="noConversion"/>
  </si>
  <si>
    <t>I1.2</t>
  </si>
  <si>
    <t>I1.3</t>
  </si>
  <si>
    <t>I1.4</t>
  </si>
  <si>
    <t>I1.5</t>
  </si>
  <si>
    <t>I1.6</t>
  </si>
  <si>
    <t>I1.7</t>
  </si>
  <si>
    <t>I2.0</t>
    <phoneticPr fontId="1" type="noConversion"/>
  </si>
  <si>
    <t>I2.1</t>
  </si>
  <si>
    <t>I2.2</t>
  </si>
  <si>
    <t>I2.3</t>
  </si>
  <si>
    <t>I2.4</t>
  </si>
  <si>
    <t>I2.5</t>
  </si>
  <si>
    <t>Q0.0</t>
    <phoneticPr fontId="1" type="noConversion"/>
  </si>
  <si>
    <t>Q0.1</t>
  </si>
  <si>
    <t>Q0.2</t>
  </si>
  <si>
    <t>Q0.3</t>
  </si>
  <si>
    <t>Q0.4</t>
  </si>
  <si>
    <t>Q0.5</t>
  </si>
  <si>
    <t>Sel_HighLv</t>
    <phoneticPr fontId="1" type="noConversion"/>
  </si>
  <si>
    <t>Sel_LowLv</t>
    <phoneticPr fontId="1" type="noConversion"/>
  </si>
  <si>
    <t>Run</t>
    <phoneticPr fontId="1" type="noConversion"/>
  </si>
  <si>
    <t>Bool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</si>
</sst>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workbookViewId="0">
      <selection activeCell="T14" sqref="T14"/>
    </sheetView>
  </sheetViews>
  <sheetFormatPr defaultColWidth="8.875" defaultRowHeight="19.899999999999999" customHeight="1" x14ac:dyDescent="0.3"/>
  <cols>
    <col min="1" max="2" width="8.875" style="1"/>
    <col min="3" max="3" width="23.25" style="1" customWidth="1"/>
    <col min="4" max="9" width="8.875" style="1"/>
    <col min="10" max="10" width="27.25" style="1" customWidth="1"/>
    <col min="11" max="16384" width="8.875" style="1"/>
  </cols>
  <sheetData>
    <row r="1" spans="1:10" ht="19.8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9.899999999999999" customHeight="1" x14ac:dyDescent="0.3">
      <c r="A2" s="1">
        <v>1</v>
      </c>
      <c r="B2" s="1" t="s">
        <v>10</v>
      </c>
      <c r="C2" s="1" t="s">
        <v>11</v>
      </c>
      <c r="D2" s="2" t="s">
        <v>12</v>
      </c>
      <c r="E2" s="1" t="str">
        <f>B2&amp;D2</f>
        <v>F01</v>
      </c>
      <c r="F2" s="1">
        <v>1</v>
      </c>
      <c r="G2" s="1">
        <v>1</v>
      </c>
      <c r="J2" s="1" t="str">
        <f>E2&amp;C2</f>
        <v>F01集尘风机</v>
      </c>
    </row>
    <row r="3" spans="1:10" ht="19.899999999999999" customHeight="1" x14ac:dyDescent="0.3">
      <c r="A3" s="1">
        <v>2</v>
      </c>
      <c r="B3" s="1" t="s">
        <v>15</v>
      </c>
      <c r="C3" s="1" t="s">
        <v>14</v>
      </c>
      <c r="D3" s="2" t="s">
        <v>12</v>
      </c>
      <c r="E3" s="1" t="str">
        <f t="shared" ref="E3:E6" si="0">B3&amp;D3</f>
        <v>S01</v>
      </c>
      <c r="F3" s="1">
        <v>2</v>
      </c>
      <c r="G3" s="1">
        <v>1</v>
      </c>
      <c r="J3" s="1" t="str">
        <f t="shared" ref="J3:J7" si="1">E3&amp;C3</f>
        <v>S01螺旋输送机</v>
      </c>
    </row>
    <row r="4" spans="1:10" ht="19.899999999999999" customHeight="1" x14ac:dyDescent="0.3">
      <c r="A4" s="1">
        <v>3</v>
      </c>
      <c r="B4" s="1" t="s">
        <v>15</v>
      </c>
      <c r="C4" s="1" t="s">
        <v>14</v>
      </c>
      <c r="D4" s="2" t="s">
        <v>16</v>
      </c>
      <c r="E4" s="1" t="str">
        <f t="shared" si="0"/>
        <v>S02</v>
      </c>
      <c r="F4" s="1">
        <v>2</v>
      </c>
      <c r="G4" s="1">
        <v>1</v>
      </c>
      <c r="J4" s="1" t="str">
        <f t="shared" si="1"/>
        <v>S02螺旋输送机</v>
      </c>
    </row>
    <row r="5" spans="1:10" ht="19.899999999999999" customHeight="1" x14ac:dyDescent="0.3">
      <c r="A5" s="1">
        <v>4</v>
      </c>
      <c r="B5" s="1" t="s">
        <v>15</v>
      </c>
      <c r="C5" s="1" t="s">
        <v>14</v>
      </c>
      <c r="D5" s="2" t="s">
        <v>13</v>
      </c>
      <c r="E5" s="1" t="str">
        <f t="shared" si="0"/>
        <v>S03</v>
      </c>
      <c r="F5" s="1">
        <v>2</v>
      </c>
      <c r="G5" s="1">
        <v>1</v>
      </c>
      <c r="J5" s="1" t="str">
        <f t="shared" si="1"/>
        <v>S03螺旋输送机</v>
      </c>
    </row>
    <row r="6" spans="1:10" ht="19.899999999999999" customHeight="1" x14ac:dyDescent="0.3">
      <c r="A6" s="1">
        <v>5</v>
      </c>
      <c r="B6" s="1" t="s">
        <v>18</v>
      </c>
      <c r="C6" s="1" t="s">
        <v>17</v>
      </c>
      <c r="D6" s="2" t="s">
        <v>12</v>
      </c>
      <c r="E6" s="1" t="str">
        <f t="shared" si="0"/>
        <v>T01</v>
      </c>
      <c r="F6" s="1">
        <v>2</v>
      </c>
      <c r="G6" s="1">
        <v>1</v>
      </c>
      <c r="J6" s="1" t="str">
        <f t="shared" si="1"/>
        <v>T01提升机</v>
      </c>
    </row>
    <row r="7" spans="1:10" ht="19.899999999999999" customHeight="1" x14ac:dyDescent="0.3">
      <c r="A7" s="1">
        <v>6</v>
      </c>
      <c r="B7" s="1" t="s">
        <v>19</v>
      </c>
      <c r="C7" s="1" t="s">
        <v>21</v>
      </c>
      <c r="D7" s="2" t="s">
        <v>12</v>
      </c>
      <c r="E7" s="1" t="str">
        <f>B7&amp;D7</f>
        <v>C01</v>
      </c>
      <c r="F7" s="1">
        <v>4</v>
      </c>
      <c r="G7" s="1">
        <v>1</v>
      </c>
      <c r="J7" s="1" t="str">
        <f t="shared" si="1"/>
        <v>C01分配器</v>
      </c>
    </row>
    <row r="8" spans="1:10" ht="19.899999999999999" customHeight="1" x14ac:dyDescent="0.3">
      <c r="A8" s="1">
        <v>7</v>
      </c>
      <c r="B8" s="1" t="s">
        <v>20</v>
      </c>
      <c r="C8" s="1" t="s">
        <v>22</v>
      </c>
      <c r="D8" s="2" t="s">
        <v>12</v>
      </c>
      <c r="E8" s="1" t="str">
        <f>B8&amp;D8</f>
        <v>A01</v>
      </c>
      <c r="F8" s="1">
        <v>3</v>
      </c>
      <c r="J8" s="1" t="str">
        <f>E8&amp;C8</f>
        <v>A01料仓</v>
      </c>
    </row>
    <row r="9" spans="1:10" ht="19.899999999999999" customHeight="1" x14ac:dyDescent="0.3">
      <c r="A9" s="1">
        <v>8</v>
      </c>
      <c r="B9" s="1" t="s">
        <v>20</v>
      </c>
      <c r="C9" s="1" t="s">
        <v>22</v>
      </c>
      <c r="D9" s="2" t="s">
        <v>16</v>
      </c>
      <c r="E9" s="1" t="str">
        <f>B9&amp;D9</f>
        <v>A02</v>
      </c>
      <c r="F9" s="1">
        <v>3</v>
      </c>
      <c r="J9" s="1" t="str">
        <f>E9&amp;C9</f>
        <v>A02料仓</v>
      </c>
    </row>
    <row r="10" spans="1:10" ht="19.899999999999999" customHeight="1" x14ac:dyDescent="0.3">
      <c r="A10" s="1">
        <v>9</v>
      </c>
      <c r="B10" s="1" t="s">
        <v>20</v>
      </c>
      <c r="C10" s="1" t="s">
        <v>22</v>
      </c>
      <c r="D10" s="2" t="s">
        <v>13</v>
      </c>
      <c r="E10" s="1" t="str">
        <f>B10&amp;D10</f>
        <v>A03</v>
      </c>
      <c r="F10" s="1">
        <v>3</v>
      </c>
      <c r="J10" s="1" t="str">
        <f>E10&amp;C10</f>
        <v>A03料仓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85045-D76C-490F-A8BE-A928879296EB}">
  <dimension ref="A1:S34"/>
  <sheetViews>
    <sheetView tabSelected="1" topLeftCell="D13" zoomScale="70" zoomScaleNormal="70" workbookViewId="0">
      <selection activeCell="E7" sqref="E7"/>
    </sheetView>
  </sheetViews>
  <sheetFormatPr defaultColWidth="8.875" defaultRowHeight="19.899999999999999" customHeight="1" x14ac:dyDescent="0.3"/>
  <cols>
    <col min="1" max="1" width="14.875" style="1" customWidth="1"/>
    <col min="2" max="2" width="8.875" style="1"/>
    <col min="3" max="3" width="26.875" style="1" customWidth="1"/>
    <col min="4" max="5" width="8.875" style="1"/>
    <col min="6" max="6" width="16.5" style="1" customWidth="1"/>
    <col min="7" max="7" width="32.125" style="1" customWidth="1"/>
    <col min="8" max="8" width="17.5" style="1" customWidth="1"/>
    <col min="9" max="11" width="8.875" style="1"/>
    <col min="12" max="12" width="32.5" style="1" customWidth="1"/>
    <col min="13" max="13" width="13.125" style="1" customWidth="1"/>
    <col min="14" max="14" width="30.25" style="1" customWidth="1"/>
    <col min="15" max="18" width="8.875" style="1"/>
    <col min="19" max="19" width="25.5" style="1" customWidth="1"/>
    <col min="20" max="16384" width="8.875" style="1"/>
  </cols>
  <sheetData>
    <row r="1" spans="1:19" ht="19.899999999999999" customHeight="1" x14ac:dyDescent="0.3">
      <c r="A1" s="5" t="s">
        <v>5</v>
      </c>
      <c r="B1" s="5"/>
      <c r="C1" s="5"/>
      <c r="D1" s="5"/>
      <c r="E1" s="5"/>
      <c r="F1" s="5"/>
      <c r="G1" s="5"/>
      <c r="H1" s="5"/>
      <c r="I1" s="5"/>
    </row>
    <row r="2" spans="1:19" ht="19.899999999999999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23</v>
      </c>
      <c r="G2" s="1" t="s">
        <v>24</v>
      </c>
      <c r="H2" s="1" t="s">
        <v>9</v>
      </c>
      <c r="I2" s="1" t="s">
        <v>25</v>
      </c>
    </row>
    <row r="3" spans="1:19" ht="19.899999999999999" customHeight="1" x14ac:dyDescent="0.3">
      <c r="A3" s="1">
        <v>1</v>
      </c>
      <c r="B3" s="1" t="s">
        <v>10</v>
      </c>
      <c r="C3" s="1" t="s">
        <v>11</v>
      </c>
      <c r="D3" s="2" t="s">
        <v>12</v>
      </c>
      <c r="E3" s="1" t="str">
        <f>B3&amp;D3</f>
        <v>F01</v>
      </c>
      <c r="F3" s="1" t="s">
        <v>27</v>
      </c>
      <c r="G3" s="1" t="str">
        <f>E3&amp;"_"&amp;F3</f>
        <v>F01_Running</v>
      </c>
      <c r="H3" s="1" t="str">
        <f>E3&amp;C3</f>
        <v>F01集尘风机</v>
      </c>
      <c r="I3" s="1" t="s">
        <v>42</v>
      </c>
      <c r="L3" s="1" t="str">
        <f>G3</f>
        <v>F01_Running</v>
      </c>
      <c r="M3" s="1" t="s">
        <v>65</v>
      </c>
      <c r="N3" s="1" t="str">
        <f>"%"&amp;I3</f>
        <v>%I0.0</v>
      </c>
      <c r="O3" s="1" t="b">
        <v>0</v>
      </c>
      <c r="P3" s="1" t="b">
        <v>1</v>
      </c>
      <c r="Q3" s="1" t="b">
        <v>1</v>
      </c>
      <c r="R3" s="1" t="b">
        <v>1</v>
      </c>
      <c r="S3" s="1" t="str">
        <f>H3&amp;G3</f>
        <v>F01集尘风机F01_Running</v>
      </c>
    </row>
    <row r="4" spans="1:19" ht="19.899999999999999" customHeight="1" x14ac:dyDescent="0.3">
      <c r="A4" s="1">
        <v>2</v>
      </c>
      <c r="B4" s="1" t="s">
        <v>15</v>
      </c>
      <c r="C4" s="1" t="s">
        <v>14</v>
      </c>
      <c r="D4" s="2" t="s">
        <v>12</v>
      </c>
      <c r="E4" s="1" t="str">
        <f t="shared" ref="E4" si="0">B4&amp;D4</f>
        <v>S01</v>
      </c>
      <c r="F4" s="1" t="s">
        <v>27</v>
      </c>
      <c r="G4" s="1" t="str">
        <f>E4&amp;"_"&amp;F4</f>
        <v>S01_Running</v>
      </c>
      <c r="H4" s="1" t="str">
        <f t="shared" ref="H4" si="1">E4&amp;C4</f>
        <v>S01螺旋输送机</v>
      </c>
      <c r="I4" s="1" t="s">
        <v>34</v>
      </c>
      <c r="L4" s="1" t="str">
        <f t="shared" ref="L4:L34" si="2">G4</f>
        <v>S01_Running</v>
      </c>
      <c r="M4" s="1" t="s">
        <v>65</v>
      </c>
      <c r="N4" s="1" t="str">
        <f t="shared" ref="N4:N34" si="3">"%"&amp;I4</f>
        <v>%I0.1</v>
      </c>
      <c r="O4" s="1" t="b">
        <v>0</v>
      </c>
      <c r="P4" s="1" t="b">
        <v>1</v>
      </c>
      <c r="Q4" s="1" t="b">
        <v>1</v>
      </c>
      <c r="R4" s="1" t="b">
        <v>1</v>
      </c>
      <c r="S4" s="1" t="str">
        <f t="shared" ref="S4:S34" si="4">H4&amp;G4</f>
        <v>S01螺旋输送机S01_Running</v>
      </c>
    </row>
    <row r="5" spans="1:19" ht="19.899999999999999" customHeight="1" x14ac:dyDescent="0.3">
      <c r="A5" s="1">
        <v>3</v>
      </c>
      <c r="B5" s="1" t="s">
        <v>15</v>
      </c>
      <c r="C5" s="1" t="s">
        <v>14</v>
      </c>
      <c r="D5" s="2" t="s">
        <v>12</v>
      </c>
      <c r="E5" s="1" t="str">
        <f t="shared" ref="E5" si="5">B5&amp;D5</f>
        <v>S01</v>
      </c>
      <c r="F5" s="1" t="s">
        <v>28</v>
      </c>
      <c r="G5" s="1" t="str">
        <f t="shared" ref="G5:G18" si="6">E5&amp;"_"&amp;F5</f>
        <v>S01_Block</v>
      </c>
      <c r="H5" s="1" t="str">
        <f t="shared" ref="H5" si="7">E5&amp;C5</f>
        <v>S01螺旋输送机</v>
      </c>
      <c r="I5" s="1" t="s">
        <v>35</v>
      </c>
      <c r="L5" s="1" t="str">
        <f t="shared" si="2"/>
        <v>S01_Block</v>
      </c>
      <c r="M5" s="1" t="s">
        <v>65</v>
      </c>
      <c r="N5" s="1" t="str">
        <f t="shared" si="3"/>
        <v>%I0.2</v>
      </c>
      <c r="O5" s="1" t="b">
        <v>0</v>
      </c>
      <c r="P5" s="1" t="b">
        <v>1</v>
      </c>
      <c r="Q5" s="1" t="b">
        <v>1</v>
      </c>
      <c r="R5" s="1" t="b">
        <v>1</v>
      </c>
      <c r="S5" s="1" t="str">
        <f t="shared" si="4"/>
        <v>S01螺旋输送机S01_Block</v>
      </c>
    </row>
    <row r="6" spans="1:19" ht="19.899999999999999" customHeight="1" x14ac:dyDescent="0.3">
      <c r="A6" s="1">
        <v>4</v>
      </c>
      <c r="B6" s="1" t="s">
        <v>15</v>
      </c>
      <c r="C6" s="1" t="s">
        <v>14</v>
      </c>
      <c r="D6" s="2" t="s">
        <v>16</v>
      </c>
      <c r="E6" s="1" t="str">
        <f t="shared" ref="E6:E13" si="8">B6&amp;D6</f>
        <v>S02</v>
      </c>
      <c r="F6" s="1" t="s">
        <v>27</v>
      </c>
      <c r="G6" s="1" t="str">
        <f t="shared" si="6"/>
        <v>S02_Running</v>
      </c>
      <c r="H6" s="1" t="str">
        <f>E6&amp;C6</f>
        <v>S02螺旋输送机</v>
      </c>
      <c r="I6" s="1" t="s">
        <v>36</v>
      </c>
      <c r="L6" s="1" t="str">
        <f t="shared" si="2"/>
        <v>S02_Running</v>
      </c>
      <c r="M6" s="1" t="s">
        <v>65</v>
      </c>
      <c r="N6" s="1" t="str">
        <f t="shared" si="3"/>
        <v>%I0.3</v>
      </c>
      <c r="O6" s="1" t="b">
        <v>0</v>
      </c>
      <c r="P6" s="1" t="b">
        <v>1</v>
      </c>
      <c r="Q6" s="1" t="b">
        <v>1</v>
      </c>
      <c r="R6" s="1" t="b">
        <v>1</v>
      </c>
      <c r="S6" s="1" t="str">
        <f t="shared" si="4"/>
        <v>S02螺旋输送机S02_Running</v>
      </c>
    </row>
    <row r="7" spans="1:19" ht="19.899999999999999" customHeight="1" x14ac:dyDescent="0.3">
      <c r="A7" s="1">
        <v>5</v>
      </c>
      <c r="B7" s="1" t="s">
        <v>15</v>
      </c>
      <c r="C7" s="1" t="s">
        <v>14</v>
      </c>
      <c r="D7" s="2" t="s">
        <v>16</v>
      </c>
      <c r="E7" s="1" t="str">
        <f t="shared" si="8"/>
        <v>S02</v>
      </c>
      <c r="F7" s="1" t="s">
        <v>28</v>
      </c>
      <c r="G7" s="1" t="str">
        <f t="shared" si="6"/>
        <v>S02_Block</v>
      </c>
      <c r="H7" s="1" t="str">
        <f>E7&amp;C7</f>
        <v>S02螺旋输送机</v>
      </c>
      <c r="I7" s="1" t="s">
        <v>37</v>
      </c>
      <c r="L7" s="1" t="str">
        <f t="shared" si="2"/>
        <v>S02_Block</v>
      </c>
      <c r="M7" s="1" t="s">
        <v>65</v>
      </c>
      <c r="N7" s="1" t="str">
        <f t="shared" si="3"/>
        <v>%I0.4</v>
      </c>
      <c r="O7" s="1" t="b">
        <v>0</v>
      </c>
      <c r="P7" s="1" t="b">
        <v>1</v>
      </c>
      <c r="Q7" s="1" t="b">
        <v>1</v>
      </c>
      <c r="R7" s="1" t="b">
        <v>1</v>
      </c>
      <c r="S7" s="1" t="str">
        <f t="shared" si="4"/>
        <v>S02螺旋输送机S02_Block</v>
      </c>
    </row>
    <row r="8" spans="1:19" ht="19.899999999999999" customHeight="1" x14ac:dyDescent="0.3">
      <c r="A8" s="1">
        <v>6</v>
      </c>
      <c r="B8" s="1" t="s">
        <v>15</v>
      </c>
      <c r="C8" s="1" t="s">
        <v>14</v>
      </c>
      <c r="D8" s="2" t="s">
        <v>13</v>
      </c>
      <c r="E8" s="1" t="str">
        <f t="shared" si="8"/>
        <v>S03</v>
      </c>
      <c r="F8" s="1" t="s">
        <v>26</v>
      </c>
      <c r="G8" s="1" t="str">
        <f t="shared" si="6"/>
        <v>S03_Running</v>
      </c>
      <c r="H8" s="1" t="str">
        <f t="shared" ref="H8:H9" si="9">E8&amp;C8</f>
        <v>S03螺旋输送机</v>
      </c>
      <c r="I8" s="1" t="s">
        <v>38</v>
      </c>
      <c r="L8" s="1" t="str">
        <f t="shared" si="2"/>
        <v>S03_Running</v>
      </c>
      <c r="M8" s="1" t="s">
        <v>65</v>
      </c>
      <c r="N8" s="1" t="str">
        <f t="shared" si="3"/>
        <v>%I0.5</v>
      </c>
      <c r="O8" s="1" t="b">
        <v>0</v>
      </c>
      <c r="P8" s="1" t="b">
        <v>1</v>
      </c>
      <c r="Q8" s="1" t="b">
        <v>1</v>
      </c>
      <c r="R8" s="1" t="b">
        <v>1</v>
      </c>
      <c r="S8" s="1" t="str">
        <f t="shared" si="4"/>
        <v>S03螺旋输送机S03_Running</v>
      </c>
    </row>
    <row r="9" spans="1:19" ht="19.899999999999999" customHeight="1" x14ac:dyDescent="0.3">
      <c r="A9" s="1">
        <v>7</v>
      </c>
      <c r="B9" s="1" t="s">
        <v>15</v>
      </c>
      <c r="C9" s="1" t="s">
        <v>14</v>
      </c>
      <c r="D9" s="2" t="s">
        <v>13</v>
      </c>
      <c r="E9" s="1" t="str">
        <f t="shared" si="8"/>
        <v>S03</v>
      </c>
      <c r="F9" s="1" t="s">
        <v>28</v>
      </c>
      <c r="G9" s="1" t="str">
        <f t="shared" si="6"/>
        <v>S03_Block</v>
      </c>
      <c r="H9" s="1" t="str">
        <f t="shared" si="9"/>
        <v>S03螺旋输送机</v>
      </c>
      <c r="I9" s="1" t="s">
        <v>39</v>
      </c>
      <c r="L9" s="1" t="str">
        <f t="shared" si="2"/>
        <v>S03_Block</v>
      </c>
      <c r="M9" s="1" t="s">
        <v>65</v>
      </c>
      <c r="N9" s="1" t="str">
        <f t="shared" si="3"/>
        <v>%I0.6</v>
      </c>
      <c r="O9" s="1" t="b">
        <v>0</v>
      </c>
      <c r="P9" s="1" t="b">
        <v>1</v>
      </c>
      <c r="Q9" s="1" t="b">
        <v>1</v>
      </c>
      <c r="R9" s="1" t="b">
        <v>1</v>
      </c>
      <c r="S9" s="1" t="str">
        <f t="shared" si="4"/>
        <v>S03螺旋输送机S03_Block</v>
      </c>
    </row>
    <row r="10" spans="1:19" ht="19.899999999999999" customHeight="1" x14ac:dyDescent="0.3">
      <c r="A10" s="1">
        <v>8</v>
      </c>
      <c r="B10" s="1" t="s">
        <v>18</v>
      </c>
      <c r="C10" s="1" t="s">
        <v>17</v>
      </c>
      <c r="D10" s="2" t="s">
        <v>12</v>
      </c>
      <c r="E10" s="1" t="str">
        <f t="shared" si="8"/>
        <v>T01</v>
      </c>
      <c r="F10" s="1" t="s">
        <v>27</v>
      </c>
      <c r="G10" s="1" t="str">
        <f t="shared" si="6"/>
        <v>T01_Running</v>
      </c>
      <c r="H10" s="1" t="str">
        <f>E10&amp;C10</f>
        <v>T01提升机</v>
      </c>
      <c r="I10" s="1" t="s">
        <v>40</v>
      </c>
      <c r="L10" s="1" t="str">
        <f t="shared" si="2"/>
        <v>T01_Running</v>
      </c>
      <c r="M10" s="1" t="s">
        <v>65</v>
      </c>
      <c r="N10" s="1" t="str">
        <f t="shared" si="3"/>
        <v>%I0.7</v>
      </c>
      <c r="O10" s="1" t="b">
        <v>0</v>
      </c>
      <c r="P10" s="1" t="b">
        <v>1</v>
      </c>
      <c r="Q10" s="1" t="b">
        <v>1</v>
      </c>
      <c r="R10" s="1" t="b">
        <v>1</v>
      </c>
      <c r="S10" s="1" t="str">
        <f t="shared" si="4"/>
        <v>T01提升机T01_Running</v>
      </c>
    </row>
    <row r="11" spans="1:19" ht="19.899999999999999" customHeight="1" x14ac:dyDescent="0.3">
      <c r="A11" s="1">
        <v>9</v>
      </c>
      <c r="B11" s="1" t="s">
        <v>18</v>
      </c>
      <c r="C11" s="1" t="s">
        <v>17</v>
      </c>
      <c r="D11" s="2" t="s">
        <v>12</v>
      </c>
      <c r="E11" s="1" t="str">
        <f t="shared" si="8"/>
        <v>T01</v>
      </c>
      <c r="F11" s="1" t="s">
        <v>28</v>
      </c>
      <c r="G11" s="1" t="str">
        <f t="shared" si="6"/>
        <v>T01_Block</v>
      </c>
      <c r="H11" s="1" t="str">
        <f>E11&amp;C11</f>
        <v>T01提升机</v>
      </c>
      <c r="I11" s="1" t="s">
        <v>43</v>
      </c>
      <c r="L11" s="1" t="str">
        <f t="shared" si="2"/>
        <v>T01_Block</v>
      </c>
      <c r="M11" s="1" t="s">
        <v>65</v>
      </c>
      <c r="N11" s="1" t="str">
        <f t="shared" si="3"/>
        <v>%I1.0</v>
      </c>
      <c r="O11" s="1" t="b">
        <v>0</v>
      </c>
      <c r="P11" s="1" t="b">
        <v>1</v>
      </c>
      <c r="Q11" s="1" t="b">
        <v>1</v>
      </c>
      <c r="R11" s="1" t="b">
        <v>1</v>
      </c>
      <c r="S11" s="1" t="str">
        <f t="shared" si="4"/>
        <v>T01提升机T01_Block</v>
      </c>
    </row>
    <row r="12" spans="1:19" ht="19.899999999999999" customHeight="1" x14ac:dyDescent="0.3">
      <c r="A12" s="1">
        <v>10</v>
      </c>
      <c r="B12" s="1" t="s">
        <v>19</v>
      </c>
      <c r="C12" s="1" t="s">
        <v>21</v>
      </c>
      <c r="D12" s="2" t="s">
        <v>12</v>
      </c>
      <c r="E12" s="1" t="str">
        <f t="shared" si="8"/>
        <v>C01</v>
      </c>
      <c r="F12" s="1" t="s">
        <v>29</v>
      </c>
      <c r="G12" s="1" t="str">
        <f t="shared" si="6"/>
        <v>C01_Sel_A01</v>
      </c>
      <c r="H12" s="1" t="str">
        <f>E12&amp;C12</f>
        <v>C01分配器</v>
      </c>
      <c r="I12" s="1" t="s">
        <v>41</v>
      </c>
      <c r="L12" s="1" t="str">
        <f t="shared" si="2"/>
        <v>C01_Sel_A01</v>
      </c>
      <c r="M12" s="1" t="s">
        <v>65</v>
      </c>
      <c r="N12" s="1" t="str">
        <f t="shared" si="3"/>
        <v>%I1.1</v>
      </c>
      <c r="O12" s="1" t="b">
        <v>0</v>
      </c>
      <c r="P12" s="1" t="b">
        <v>1</v>
      </c>
      <c r="Q12" s="1" t="b">
        <v>1</v>
      </c>
      <c r="R12" s="1" t="b">
        <v>1</v>
      </c>
      <c r="S12" s="1" t="str">
        <f t="shared" si="4"/>
        <v>C01分配器C01_Sel_A01</v>
      </c>
    </row>
    <row r="13" spans="1:19" ht="19.899999999999999" customHeight="1" x14ac:dyDescent="0.3">
      <c r="A13" s="1">
        <v>11</v>
      </c>
      <c r="B13" s="1" t="s">
        <v>19</v>
      </c>
      <c r="C13" s="1" t="s">
        <v>21</v>
      </c>
      <c r="D13" s="2" t="s">
        <v>12</v>
      </c>
      <c r="E13" s="1" t="str">
        <f t="shared" si="8"/>
        <v>C01</v>
      </c>
      <c r="F13" s="1" t="s">
        <v>30</v>
      </c>
      <c r="G13" s="1" t="str">
        <f t="shared" si="6"/>
        <v>C01_Sel_A02</v>
      </c>
      <c r="H13" s="1" t="str">
        <f>E13&amp;C13</f>
        <v>C01分配器</v>
      </c>
      <c r="I13" s="1" t="s">
        <v>44</v>
      </c>
      <c r="L13" s="1" t="str">
        <f t="shared" si="2"/>
        <v>C01_Sel_A02</v>
      </c>
      <c r="M13" s="1" t="s">
        <v>65</v>
      </c>
      <c r="N13" s="1" t="str">
        <f t="shared" si="3"/>
        <v>%I1.2</v>
      </c>
      <c r="O13" s="1" t="b">
        <v>0</v>
      </c>
      <c r="P13" s="1" t="b">
        <v>1</v>
      </c>
      <c r="Q13" s="1" t="b">
        <v>1</v>
      </c>
      <c r="R13" s="1" t="b">
        <v>1</v>
      </c>
      <c r="S13" s="1" t="str">
        <f t="shared" si="4"/>
        <v>C01分配器C01_Sel_A02</v>
      </c>
    </row>
    <row r="14" spans="1:19" ht="19.899999999999999" customHeight="1" x14ac:dyDescent="0.3">
      <c r="A14" s="1">
        <v>12</v>
      </c>
      <c r="B14" s="1" t="s">
        <v>19</v>
      </c>
      <c r="C14" s="1" t="s">
        <v>21</v>
      </c>
      <c r="D14" s="2" t="s">
        <v>12</v>
      </c>
      <c r="E14" s="1" t="str">
        <f t="shared" ref="E14" si="10">B14&amp;D14</f>
        <v>C01</v>
      </c>
      <c r="F14" s="1" t="s">
        <v>31</v>
      </c>
      <c r="G14" s="1" t="str">
        <f t="shared" si="6"/>
        <v>C01_Sel_A03</v>
      </c>
      <c r="H14" s="1" t="str">
        <f t="shared" ref="H14:H25" si="11">E14&amp;C14</f>
        <v>C01分配器</v>
      </c>
      <c r="I14" s="1" t="s">
        <v>45</v>
      </c>
      <c r="L14" s="1" t="str">
        <f t="shared" si="2"/>
        <v>C01_Sel_A03</v>
      </c>
      <c r="M14" s="1" t="s">
        <v>65</v>
      </c>
      <c r="N14" s="1" t="str">
        <f t="shared" si="3"/>
        <v>%I1.3</v>
      </c>
      <c r="O14" s="1" t="b">
        <v>0</v>
      </c>
      <c r="P14" s="1" t="b">
        <v>1</v>
      </c>
      <c r="Q14" s="1" t="b">
        <v>1</v>
      </c>
      <c r="R14" s="1" t="b">
        <v>1</v>
      </c>
      <c r="S14" s="1" t="str">
        <f t="shared" si="4"/>
        <v>C01分配器C01_Sel_A03</v>
      </c>
    </row>
    <row r="15" spans="1:19" ht="19.899999999999999" customHeight="1" x14ac:dyDescent="0.3">
      <c r="A15" s="1">
        <v>13</v>
      </c>
      <c r="B15" s="1" t="s">
        <v>19</v>
      </c>
      <c r="C15" s="1" t="s">
        <v>21</v>
      </c>
      <c r="D15" s="2" t="s">
        <v>12</v>
      </c>
      <c r="E15" s="1" t="str">
        <f>B15&amp;D15</f>
        <v>C01</v>
      </c>
      <c r="F15" s="1" t="s">
        <v>27</v>
      </c>
      <c r="G15" s="1" t="str">
        <f>E15&amp;"_"&amp;F15</f>
        <v>C01_Running</v>
      </c>
      <c r="H15" s="1" t="str">
        <f t="shared" si="11"/>
        <v>C01分配器</v>
      </c>
      <c r="I15" s="1" t="s">
        <v>46</v>
      </c>
      <c r="L15" s="1" t="str">
        <f t="shared" si="2"/>
        <v>C01_Running</v>
      </c>
      <c r="M15" s="1" t="s">
        <v>65</v>
      </c>
      <c r="N15" s="1" t="str">
        <f t="shared" si="3"/>
        <v>%I1.4</v>
      </c>
      <c r="O15" s="1" t="b">
        <v>0</v>
      </c>
      <c r="P15" s="1" t="b">
        <v>1</v>
      </c>
      <c r="Q15" s="1" t="b">
        <v>1</v>
      </c>
      <c r="R15" s="1" t="b">
        <v>1</v>
      </c>
      <c r="S15" s="1" t="str">
        <f t="shared" si="4"/>
        <v>C01分配器C01_Running</v>
      </c>
    </row>
    <row r="16" spans="1:19" ht="19.899999999999999" customHeight="1" x14ac:dyDescent="0.3">
      <c r="A16" s="1">
        <v>14</v>
      </c>
      <c r="B16" s="1" t="s">
        <v>20</v>
      </c>
      <c r="C16" s="1" t="s">
        <v>22</v>
      </c>
      <c r="D16" s="2" t="s">
        <v>12</v>
      </c>
      <c r="E16" s="1" t="str">
        <f>B16&amp;D16</f>
        <v>A01</v>
      </c>
      <c r="F16" s="1" t="s">
        <v>32</v>
      </c>
      <c r="G16" s="1" t="str">
        <f>E16&amp;"_"&amp;F16</f>
        <v>A01_Sel_Btn</v>
      </c>
      <c r="H16" s="1" t="str">
        <f t="shared" si="11"/>
        <v>A01料仓</v>
      </c>
      <c r="I16" s="1" t="s">
        <v>47</v>
      </c>
      <c r="L16" s="1" t="str">
        <f t="shared" si="2"/>
        <v>A01_Sel_Btn</v>
      </c>
      <c r="M16" s="1" t="s">
        <v>65</v>
      </c>
      <c r="N16" s="1" t="str">
        <f t="shared" si="3"/>
        <v>%I1.5</v>
      </c>
      <c r="O16" s="1" t="b">
        <v>0</v>
      </c>
      <c r="P16" s="1" t="b">
        <v>1</v>
      </c>
      <c r="Q16" s="1" t="b">
        <v>1</v>
      </c>
      <c r="R16" s="1" t="b">
        <v>1</v>
      </c>
      <c r="S16" s="1" t="str">
        <f t="shared" si="4"/>
        <v>A01料仓A01_Sel_Btn</v>
      </c>
    </row>
    <row r="17" spans="1:19" ht="19.899999999999999" customHeight="1" x14ac:dyDescent="0.3">
      <c r="A17" s="1">
        <v>15</v>
      </c>
      <c r="B17" s="1" t="s">
        <v>20</v>
      </c>
      <c r="C17" s="1" t="s">
        <v>22</v>
      </c>
      <c r="D17" s="2" t="s">
        <v>12</v>
      </c>
      <c r="E17" s="1" t="str">
        <f t="shared" ref="E17:E18" si="12">B17&amp;D17</f>
        <v>A01</v>
      </c>
      <c r="F17" s="1" t="s">
        <v>62</v>
      </c>
      <c r="G17" s="1" t="str">
        <f>E17&amp;"_"&amp;F17</f>
        <v>A01_Sel_HighLv</v>
      </c>
      <c r="H17" s="1" t="str">
        <f t="shared" si="11"/>
        <v>A01料仓</v>
      </c>
      <c r="I17" s="1" t="s">
        <v>48</v>
      </c>
      <c r="L17" s="1" t="str">
        <f t="shared" si="2"/>
        <v>A01_Sel_HighLv</v>
      </c>
      <c r="M17" s="1" t="s">
        <v>65</v>
      </c>
      <c r="N17" s="1" t="str">
        <f t="shared" si="3"/>
        <v>%I1.6</v>
      </c>
      <c r="O17" s="1" t="b">
        <v>0</v>
      </c>
      <c r="P17" s="1" t="b">
        <v>1</v>
      </c>
      <c r="Q17" s="1" t="b">
        <v>1</v>
      </c>
      <c r="R17" s="1" t="b">
        <v>1</v>
      </c>
      <c r="S17" s="1" t="str">
        <f t="shared" si="4"/>
        <v>A01料仓A01_Sel_HighLv</v>
      </c>
    </row>
    <row r="18" spans="1:19" ht="19.899999999999999" customHeight="1" x14ac:dyDescent="0.3">
      <c r="A18" s="1">
        <v>16</v>
      </c>
      <c r="B18" s="1" t="s">
        <v>20</v>
      </c>
      <c r="C18" s="1" t="s">
        <v>22</v>
      </c>
      <c r="D18" s="2" t="s">
        <v>12</v>
      </c>
      <c r="E18" s="1" t="str">
        <f t="shared" si="12"/>
        <v>A01</v>
      </c>
      <c r="F18" s="1" t="s">
        <v>63</v>
      </c>
      <c r="G18" s="1" t="str">
        <f t="shared" si="6"/>
        <v>A01_Sel_LowLv</v>
      </c>
      <c r="H18" s="1" t="str">
        <f t="shared" si="11"/>
        <v>A01料仓</v>
      </c>
      <c r="I18" s="1" t="s">
        <v>49</v>
      </c>
      <c r="L18" s="1" t="str">
        <f t="shared" si="2"/>
        <v>A01_Sel_LowLv</v>
      </c>
      <c r="M18" s="1" t="s">
        <v>65</v>
      </c>
      <c r="N18" s="1" t="str">
        <f t="shared" si="3"/>
        <v>%I1.7</v>
      </c>
      <c r="O18" s="1" t="b">
        <v>0</v>
      </c>
      <c r="P18" s="1" t="b">
        <v>1</v>
      </c>
      <c r="Q18" s="1" t="b">
        <v>1</v>
      </c>
      <c r="R18" s="1" t="b">
        <v>1</v>
      </c>
      <c r="S18" s="1" t="str">
        <f t="shared" si="4"/>
        <v>A01料仓A01_Sel_LowLv</v>
      </c>
    </row>
    <row r="19" spans="1:19" ht="19.899999999999999" customHeight="1" x14ac:dyDescent="0.3">
      <c r="A19" s="1">
        <v>17</v>
      </c>
      <c r="B19" s="1" t="s">
        <v>20</v>
      </c>
      <c r="C19" s="1" t="s">
        <v>22</v>
      </c>
      <c r="D19" s="2" t="s">
        <v>16</v>
      </c>
      <c r="E19" s="1" t="str">
        <f>B19&amp;D19</f>
        <v>A02</v>
      </c>
      <c r="F19" s="1" t="s">
        <v>32</v>
      </c>
      <c r="G19" s="1" t="str">
        <f t="shared" ref="G19:G24" si="13">E19&amp;"_"&amp;F19</f>
        <v>A02_Sel_Btn</v>
      </c>
      <c r="H19" s="1" t="str">
        <f t="shared" si="11"/>
        <v>A02料仓</v>
      </c>
      <c r="I19" s="1" t="s">
        <v>50</v>
      </c>
      <c r="L19" s="1" t="str">
        <f t="shared" si="2"/>
        <v>A02_Sel_Btn</v>
      </c>
      <c r="M19" s="1" t="s">
        <v>65</v>
      </c>
      <c r="N19" s="1" t="str">
        <f t="shared" si="3"/>
        <v>%I2.0</v>
      </c>
      <c r="O19" s="1" t="b">
        <v>0</v>
      </c>
      <c r="P19" s="1" t="b">
        <v>1</v>
      </c>
      <c r="Q19" s="1" t="b">
        <v>1</v>
      </c>
      <c r="R19" s="1" t="b">
        <v>1</v>
      </c>
      <c r="S19" s="1" t="str">
        <f t="shared" si="4"/>
        <v>A02料仓A02_Sel_Btn</v>
      </c>
    </row>
    <row r="20" spans="1:19" ht="19.899999999999999" customHeight="1" x14ac:dyDescent="0.3">
      <c r="A20" s="1">
        <v>18</v>
      </c>
      <c r="B20" s="1" t="s">
        <v>20</v>
      </c>
      <c r="C20" s="1" t="s">
        <v>22</v>
      </c>
      <c r="D20" s="2" t="s">
        <v>33</v>
      </c>
      <c r="E20" s="1" t="str">
        <f>B20&amp;D20</f>
        <v>A02</v>
      </c>
      <c r="F20" s="1" t="s">
        <v>62</v>
      </c>
      <c r="G20" s="1" t="str">
        <f t="shared" si="13"/>
        <v>A02_Sel_HighLv</v>
      </c>
      <c r="H20" s="1" t="str">
        <f t="shared" si="11"/>
        <v>A02料仓</v>
      </c>
      <c r="I20" s="1" t="s">
        <v>51</v>
      </c>
      <c r="L20" s="1" t="str">
        <f t="shared" si="2"/>
        <v>A02_Sel_HighLv</v>
      </c>
      <c r="M20" s="1" t="s">
        <v>65</v>
      </c>
      <c r="N20" s="1" t="str">
        <f t="shared" si="3"/>
        <v>%I2.1</v>
      </c>
      <c r="O20" s="1" t="b">
        <v>0</v>
      </c>
      <c r="P20" s="1" t="b">
        <v>1</v>
      </c>
      <c r="Q20" s="1" t="b">
        <v>1</v>
      </c>
      <c r="R20" s="1" t="b">
        <v>1</v>
      </c>
      <c r="S20" s="1" t="str">
        <f t="shared" si="4"/>
        <v>A02料仓A02_Sel_HighLv</v>
      </c>
    </row>
    <row r="21" spans="1:19" ht="19.899999999999999" customHeight="1" x14ac:dyDescent="0.3">
      <c r="A21" s="1">
        <v>19</v>
      </c>
      <c r="B21" s="1" t="s">
        <v>20</v>
      </c>
      <c r="C21" s="1" t="s">
        <v>22</v>
      </c>
      <c r="D21" s="2" t="s">
        <v>33</v>
      </c>
      <c r="E21" s="1" t="str">
        <f>B21&amp;D21</f>
        <v>A02</v>
      </c>
      <c r="F21" s="1" t="s">
        <v>63</v>
      </c>
      <c r="G21" s="1" t="str">
        <f t="shared" si="13"/>
        <v>A02_Sel_LowLv</v>
      </c>
      <c r="H21" s="1" t="str">
        <f t="shared" si="11"/>
        <v>A02料仓</v>
      </c>
      <c r="I21" s="1" t="s">
        <v>52</v>
      </c>
      <c r="L21" s="1" t="str">
        <f t="shared" si="2"/>
        <v>A02_Sel_LowLv</v>
      </c>
      <c r="M21" s="1" t="s">
        <v>65</v>
      </c>
      <c r="N21" s="1" t="str">
        <f t="shared" si="3"/>
        <v>%I2.2</v>
      </c>
      <c r="O21" s="1" t="b">
        <v>0</v>
      </c>
      <c r="P21" s="1" t="b">
        <v>1</v>
      </c>
      <c r="Q21" s="1" t="b">
        <v>1</v>
      </c>
      <c r="R21" s="1" t="b">
        <v>1</v>
      </c>
      <c r="S21" s="1" t="str">
        <f t="shared" si="4"/>
        <v>A02料仓A02_Sel_LowLv</v>
      </c>
    </row>
    <row r="22" spans="1:19" ht="19.899999999999999" customHeight="1" x14ac:dyDescent="0.3">
      <c r="A22" s="1">
        <v>20</v>
      </c>
      <c r="B22" s="1" t="s">
        <v>20</v>
      </c>
      <c r="C22" s="1" t="s">
        <v>22</v>
      </c>
      <c r="D22" s="2" t="s">
        <v>13</v>
      </c>
      <c r="E22" s="1" t="str">
        <f>B21&amp;D22</f>
        <v>A03</v>
      </c>
      <c r="F22" s="1" t="s">
        <v>32</v>
      </c>
      <c r="G22" s="1" t="str">
        <f t="shared" si="13"/>
        <v>A03_Sel_Btn</v>
      </c>
      <c r="H22" s="1" t="str">
        <f t="shared" si="11"/>
        <v>A03料仓</v>
      </c>
      <c r="I22" s="1" t="s">
        <v>53</v>
      </c>
      <c r="L22" s="1" t="str">
        <f t="shared" si="2"/>
        <v>A03_Sel_Btn</v>
      </c>
      <c r="M22" s="1" t="s">
        <v>65</v>
      </c>
      <c r="N22" s="1" t="str">
        <f t="shared" si="3"/>
        <v>%I2.3</v>
      </c>
      <c r="O22" s="1" t="b">
        <v>0</v>
      </c>
      <c r="P22" s="1" t="b">
        <v>1</v>
      </c>
      <c r="Q22" s="1" t="b">
        <v>1</v>
      </c>
      <c r="R22" s="1" t="b">
        <v>1</v>
      </c>
      <c r="S22" s="1" t="str">
        <f t="shared" si="4"/>
        <v>A03料仓A03_Sel_Btn</v>
      </c>
    </row>
    <row r="23" spans="1:19" ht="19.899999999999999" customHeight="1" x14ac:dyDescent="0.3">
      <c r="A23" s="1">
        <v>21</v>
      </c>
      <c r="B23" s="1" t="s">
        <v>20</v>
      </c>
      <c r="C23" s="1" t="s">
        <v>22</v>
      </c>
      <c r="D23" s="2" t="s">
        <v>13</v>
      </c>
      <c r="E23" s="1" t="str">
        <f>B22&amp;D23</f>
        <v>A03</v>
      </c>
      <c r="F23" s="1" t="s">
        <v>62</v>
      </c>
      <c r="G23" s="1" t="str">
        <f t="shared" si="13"/>
        <v>A03_Sel_HighLv</v>
      </c>
      <c r="H23" s="1" t="str">
        <f t="shared" si="11"/>
        <v>A03料仓</v>
      </c>
      <c r="I23" s="1" t="s">
        <v>54</v>
      </c>
      <c r="L23" s="1" t="str">
        <f t="shared" si="2"/>
        <v>A03_Sel_HighLv</v>
      </c>
      <c r="M23" s="1" t="s">
        <v>65</v>
      </c>
      <c r="N23" s="1" t="str">
        <f t="shared" si="3"/>
        <v>%I2.4</v>
      </c>
      <c r="O23" s="1" t="b">
        <v>0</v>
      </c>
      <c r="P23" s="1" t="b">
        <v>1</v>
      </c>
      <c r="Q23" s="1" t="b">
        <v>1</v>
      </c>
      <c r="R23" s="1" t="b">
        <v>1</v>
      </c>
      <c r="S23" s="1" t="str">
        <f t="shared" si="4"/>
        <v>A03料仓A03_Sel_HighLv</v>
      </c>
    </row>
    <row r="24" spans="1:19" ht="19.899999999999999" customHeight="1" x14ac:dyDescent="0.3">
      <c r="A24" s="1">
        <v>22</v>
      </c>
      <c r="B24" s="1" t="s">
        <v>20</v>
      </c>
      <c r="C24" s="1" t="s">
        <v>22</v>
      </c>
      <c r="D24" s="2" t="s">
        <v>13</v>
      </c>
      <c r="E24" s="1" t="str">
        <f>B23&amp;D24</f>
        <v>A03</v>
      </c>
      <c r="F24" s="1" t="s">
        <v>63</v>
      </c>
      <c r="G24" s="1" t="str">
        <f t="shared" si="13"/>
        <v>A03_Sel_LowLv</v>
      </c>
      <c r="H24" s="1" t="str">
        <f t="shared" si="11"/>
        <v>A03料仓</v>
      </c>
      <c r="I24" s="1" t="s">
        <v>55</v>
      </c>
      <c r="L24" s="1" t="str">
        <f t="shared" si="2"/>
        <v>A03_Sel_LowLv</v>
      </c>
      <c r="M24" s="1" t="s">
        <v>65</v>
      </c>
      <c r="N24" s="1" t="str">
        <f t="shared" si="3"/>
        <v>%I2.5</v>
      </c>
      <c r="O24" s="1" t="b">
        <v>0</v>
      </c>
      <c r="P24" s="1" t="b">
        <v>1</v>
      </c>
      <c r="Q24" s="1" t="b">
        <v>1</v>
      </c>
      <c r="R24" s="1" t="b">
        <v>1</v>
      </c>
      <c r="S24" s="1" t="str">
        <f t="shared" si="4"/>
        <v>A03料仓A03_Sel_LowLv</v>
      </c>
    </row>
    <row r="25" spans="1:19" ht="19.899999999999999" customHeight="1" x14ac:dyDescent="0.3">
      <c r="H25" s="1" t="str">
        <f t="shared" si="11"/>
        <v/>
      </c>
      <c r="S25" s="1" t="str">
        <f t="shared" si="4"/>
        <v/>
      </c>
    </row>
    <row r="26" spans="1:19" ht="19.899999999999999" customHeight="1" x14ac:dyDescent="0.3">
      <c r="S26" s="1" t="str">
        <f t="shared" si="4"/>
        <v/>
      </c>
    </row>
    <row r="27" spans="1:19" ht="19.899999999999999" customHeight="1" x14ac:dyDescent="0.3">
      <c r="A27" s="4" t="s">
        <v>6</v>
      </c>
      <c r="B27" s="4"/>
      <c r="C27" s="4"/>
      <c r="D27" s="4"/>
      <c r="E27" s="4"/>
      <c r="F27" s="4"/>
      <c r="G27" s="4"/>
      <c r="H27" s="4"/>
      <c r="I27" s="3"/>
      <c r="S27" s="1" t="str">
        <f t="shared" si="4"/>
        <v/>
      </c>
    </row>
    <row r="28" spans="1:19" ht="19.899999999999999" customHeight="1" x14ac:dyDescent="0.3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23</v>
      </c>
      <c r="G28" s="1" t="s">
        <v>24</v>
      </c>
      <c r="H28" s="1" t="s">
        <v>9</v>
      </c>
      <c r="I28" s="1" t="s">
        <v>25</v>
      </c>
    </row>
    <row r="29" spans="1:19" ht="19.899999999999999" customHeight="1" x14ac:dyDescent="0.3">
      <c r="A29" s="1">
        <v>1</v>
      </c>
      <c r="B29" s="1" t="s">
        <v>10</v>
      </c>
      <c r="C29" s="1" t="s">
        <v>11</v>
      </c>
      <c r="D29" s="2" t="s">
        <v>12</v>
      </c>
      <c r="E29" s="1" t="str">
        <f>B29&amp;D29</f>
        <v>F01</v>
      </c>
      <c r="F29" s="1" t="s">
        <v>64</v>
      </c>
      <c r="G29" s="1" t="str">
        <f>E29&amp;"_"&amp;F29</f>
        <v>F01_Run</v>
      </c>
      <c r="H29" s="1" t="str">
        <f>E29&amp;C29</f>
        <v>F01集尘风机</v>
      </c>
      <c r="I29" s="1" t="s">
        <v>56</v>
      </c>
      <c r="L29" s="1" t="str">
        <f t="shared" si="2"/>
        <v>F01_Run</v>
      </c>
      <c r="M29" s="1" t="s">
        <v>65</v>
      </c>
      <c r="N29" s="1" t="str">
        <f t="shared" si="3"/>
        <v>%Q0.0</v>
      </c>
      <c r="O29" s="1" t="b">
        <v>0</v>
      </c>
      <c r="P29" s="1" t="b">
        <v>1</v>
      </c>
      <c r="Q29" s="1" t="b">
        <v>1</v>
      </c>
      <c r="R29" s="1" t="b">
        <v>1</v>
      </c>
      <c r="S29" s="1" t="str">
        <f t="shared" si="4"/>
        <v>F01集尘风机F01_Run</v>
      </c>
    </row>
    <row r="30" spans="1:19" ht="19.899999999999999" customHeight="1" x14ac:dyDescent="0.3">
      <c r="A30" s="1">
        <v>2</v>
      </c>
      <c r="B30" s="1" t="s">
        <v>15</v>
      </c>
      <c r="C30" s="1" t="s">
        <v>14</v>
      </c>
      <c r="D30" s="2" t="s">
        <v>12</v>
      </c>
      <c r="E30" s="1" t="str">
        <f t="shared" ref="E30:E33" si="14">B30&amp;D30</f>
        <v>S01</v>
      </c>
      <c r="F30" s="1" t="s">
        <v>64</v>
      </c>
      <c r="G30" s="1" t="str">
        <f t="shared" ref="G30:G34" si="15">E30&amp;"_"&amp;F30</f>
        <v>S01_Run</v>
      </c>
      <c r="H30" s="1" t="str">
        <f t="shared" ref="H30:H34" si="16">E30&amp;C30</f>
        <v>S01螺旋输送机</v>
      </c>
      <c r="I30" s="1" t="s">
        <v>57</v>
      </c>
      <c r="L30" s="1" t="str">
        <f t="shared" si="2"/>
        <v>S01_Run</v>
      </c>
      <c r="M30" s="1" t="s">
        <v>65</v>
      </c>
      <c r="N30" s="1" t="str">
        <f t="shared" si="3"/>
        <v>%Q0.1</v>
      </c>
      <c r="O30" s="1" t="b">
        <v>0</v>
      </c>
      <c r="P30" s="1" t="b">
        <v>1</v>
      </c>
      <c r="Q30" s="1" t="b">
        <v>1</v>
      </c>
      <c r="R30" s="1" t="b">
        <v>1</v>
      </c>
      <c r="S30" s="1" t="str">
        <f t="shared" si="4"/>
        <v>S01螺旋输送机S01_Run</v>
      </c>
    </row>
    <row r="31" spans="1:19" ht="19.899999999999999" customHeight="1" x14ac:dyDescent="0.3">
      <c r="A31" s="1">
        <v>3</v>
      </c>
      <c r="B31" s="1" t="s">
        <v>15</v>
      </c>
      <c r="C31" s="1" t="s">
        <v>14</v>
      </c>
      <c r="D31" s="2" t="s">
        <v>16</v>
      </c>
      <c r="E31" s="1" t="str">
        <f t="shared" si="14"/>
        <v>S02</v>
      </c>
      <c r="F31" s="1" t="s">
        <v>64</v>
      </c>
      <c r="G31" s="1" t="str">
        <f t="shared" si="15"/>
        <v>S02_Run</v>
      </c>
      <c r="H31" s="1" t="str">
        <f t="shared" si="16"/>
        <v>S02螺旋输送机</v>
      </c>
      <c r="I31" s="1" t="s">
        <v>58</v>
      </c>
      <c r="L31" s="1" t="str">
        <f t="shared" si="2"/>
        <v>S02_Run</v>
      </c>
      <c r="M31" s="1" t="s">
        <v>65</v>
      </c>
      <c r="N31" s="1" t="str">
        <f t="shared" si="3"/>
        <v>%Q0.2</v>
      </c>
      <c r="O31" s="1" t="b">
        <v>0</v>
      </c>
      <c r="P31" s="1" t="b">
        <v>1</v>
      </c>
      <c r="Q31" s="1" t="b">
        <v>1</v>
      </c>
      <c r="R31" s="1" t="b">
        <v>1</v>
      </c>
      <c r="S31" s="1" t="str">
        <f t="shared" si="4"/>
        <v>S02螺旋输送机S02_Run</v>
      </c>
    </row>
    <row r="32" spans="1:19" ht="19.899999999999999" customHeight="1" x14ac:dyDescent="0.3">
      <c r="A32" s="1">
        <v>4</v>
      </c>
      <c r="B32" s="1" t="s">
        <v>15</v>
      </c>
      <c r="C32" s="1" t="s">
        <v>14</v>
      </c>
      <c r="D32" s="2" t="s">
        <v>13</v>
      </c>
      <c r="E32" s="1" t="str">
        <f t="shared" si="14"/>
        <v>S03</v>
      </c>
      <c r="F32" s="1" t="s">
        <v>64</v>
      </c>
      <c r="G32" s="1" t="str">
        <f t="shared" si="15"/>
        <v>S03_Run</v>
      </c>
      <c r="H32" s="1" t="str">
        <f t="shared" si="16"/>
        <v>S03螺旋输送机</v>
      </c>
      <c r="I32" s="1" t="s">
        <v>59</v>
      </c>
      <c r="L32" s="1" t="str">
        <f t="shared" si="2"/>
        <v>S03_Run</v>
      </c>
      <c r="M32" s="1" t="s">
        <v>65</v>
      </c>
      <c r="N32" s="1" t="str">
        <f t="shared" si="3"/>
        <v>%Q0.3</v>
      </c>
      <c r="O32" s="1" t="b">
        <v>0</v>
      </c>
      <c r="P32" s="1" t="b">
        <v>1</v>
      </c>
      <c r="Q32" s="1" t="b">
        <v>1</v>
      </c>
      <c r="R32" s="1" t="b">
        <v>1</v>
      </c>
      <c r="S32" s="1" t="str">
        <f t="shared" si="4"/>
        <v>S03螺旋输送机S03_Run</v>
      </c>
    </row>
    <row r="33" spans="1:19" ht="19.899999999999999" customHeight="1" x14ac:dyDescent="0.3">
      <c r="A33" s="1">
        <v>5</v>
      </c>
      <c r="B33" s="1" t="s">
        <v>18</v>
      </c>
      <c r="C33" s="1" t="s">
        <v>17</v>
      </c>
      <c r="D33" s="2" t="s">
        <v>12</v>
      </c>
      <c r="E33" s="1" t="str">
        <f t="shared" si="14"/>
        <v>T01</v>
      </c>
      <c r="F33" s="1" t="s">
        <v>64</v>
      </c>
      <c r="G33" s="1" t="str">
        <f t="shared" si="15"/>
        <v>T01_Run</v>
      </c>
      <c r="H33" s="1" t="str">
        <f t="shared" si="16"/>
        <v>T01提升机</v>
      </c>
      <c r="I33" s="1" t="s">
        <v>60</v>
      </c>
      <c r="L33" s="1" t="str">
        <f t="shared" si="2"/>
        <v>T01_Run</v>
      </c>
      <c r="M33" s="1" t="s">
        <v>65</v>
      </c>
      <c r="N33" s="1" t="str">
        <f t="shared" si="3"/>
        <v>%Q0.4</v>
      </c>
      <c r="O33" s="1" t="b">
        <v>0</v>
      </c>
      <c r="P33" s="1" t="b">
        <v>1</v>
      </c>
      <c r="Q33" s="1" t="b">
        <v>1</v>
      </c>
      <c r="R33" s="1" t="b">
        <v>1</v>
      </c>
      <c r="S33" s="1" t="str">
        <f t="shared" si="4"/>
        <v>T01提升机T01_Run</v>
      </c>
    </row>
    <row r="34" spans="1:19" ht="19.899999999999999" customHeight="1" x14ac:dyDescent="0.3">
      <c r="A34" s="1">
        <v>6</v>
      </c>
      <c r="B34" s="1" t="s">
        <v>19</v>
      </c>
      <c r="C34" s="1" t="s">
        <v>21</v>
      </c>
      <c r="D34" s="2" t="s">
        <v>12</v>
      </c>
      <c r="E34" s="1" t="str">
        <f>B34&amp;D34</f>
        <v>C01</v>
      </c>
      <c r="F34" s="1" t="s">
        <v>64</v>
      </c>
      <c r="G34" s="1" t="str">
        <f t="shared" si="15"/>
        <v>C01_Run</v>
      </c>
      <c r="H34" s="1" t="str">
        <f t="shared" si="16"/>
        <v>C01分配器</v>
      </c>
      <c r="I34" s="1" t="s">
        <v>61</v>
      </c>
      <c r="L34" s="1" t="str">
        <f t="shared" si="2"/>
        <v>C01_Run</v>
      </c>
      <c r="M34" s="1" t="s">
        <v>65</v>
      </c>
      <c r="N34" s="1" t="str">
        <f t="shared" si="3"/>
        <v>%Q0.5</v>
      </c>
      <c r="O34" s="1" t="b">
        <v>0</v>
      </c>
      <c r="P34" s="1" t="b">
        <v>1</v>
      </c>
      <c r="Q34" s="1" t="b">
        <v>1</v>
      </c>
      <c r="R34" s="1" t="b">
        <v>1</v>
      </c>
      <c r="S34" s="1" t="str">
        <f t="shared" si="4"/>
        <v>C01分配器C01_Run</v>
      </c>
    </row>
  </sheetData>
  <mergeCells count="2">
    <mergeCell ref="A1:I1"/>
    <mergeCell ref="A27:H2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设备清单</vt:lpstr>
      <vt:lpstr>点位表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无空</dc:creator>
  <cp:lastModifiedBy>无空</cp:lastModifiedBy>
  <dcterms:created xsi:type="dcterms:W3CDTF">2015-06-05T18:19:34Z</dcterms:created>
  <dcterms:modified xsi:type="dcterms:W3CDTF">2026-08-26T04:19:09Z</dcterms:modified>
</cp:coreProperties>
</file>