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118" documentId="8_{6BE74AD7-1F9F-4EFC-97DD-D1123B1DA817}" xr6:coauthVersionLast="47" xr6:coauthVersionMax="47" xr10:uidLastSave="{86DB9EC1-1471-4C1C-9C99-CB02C5E399AE}"/>
  <bookViews>
    <workbookView xWindow="-120" yWindow="-120" windowWidth="29040" windowHeight="15720" activeTab="1" xr2:uid="{00000000-000D-0000-FFFF-FFFF00000000}"/>
  </bookViews>
  <sheets>
    <sheet name="设备清单" sheetId="1" r:id="rId1"/>
    <sheet name="点位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2" l="1"/>
  <c r="N23" i="2"/>
  <c r="L23" i="2"/>
  <c r="H23" i="2"/>
  <c r="G23" i="2"/>
  <c r="E23" i="2"/>
  <c r="N19" i="2"/>
  <c r="N18" i="2"/>
  <c r="H19" i="2"/>
  <c r="H18" i="2"/>
  <c r="G19" i="2"/>
  <c r="G18" i="2"/>
  <c r="E19" i="2"/>
  <c r="E18" i="2"/>
  <c r="E12" i="2"/>
  <c r="E13" i="2"/>
  <c r="E14" i="2"/>
  <c r="E6" i="2"/>
  <c r="E8" i="2"/>
  <c r="E7" i="2"/>
  <c r="E3" i="2"/>
  <c r="E5" i="2"/>
  <c r="E4" i="2"/>
  <c r="J3" i="1"/>
  <c r="J4" i="1"/>
  <c r="J5" i="1"/>
  <c r="J6" i="1"/>
  <c r="E3" i="1"/>
  <c r="E4" i="1"/>
  <c r="E5" i="1"/>
  <c r="E6" i="1"/>
  <c r="E2" i="1"/>
  <c r="S26" i="2"/>
  <c r="S10" i="2"/>
  <c r="N4" i="2"/>
  <c r="N5" i="2"/>
  <c r="N6" i="2"/>
  <c r="N7" i="2"/>
  <c r="N8" i="2"/>
  <c r="N12" i="2"/>
  <c r="N13" i="2"/>
  <c r="N14" i="2"/>
  <c r="N3" i="2"/>
  <c r="H25" i="2"/>
  <c r="L19" i="2" l="1"/>
  <c r="S19" i="2"/>
  <c r="S18" i="2"/>
  <c r="L18" i="2"/>
  <c r="S25" i="2"/>
  <c r="G12" i="2"/>
  <c r="L12" i="2" s="1"/>
  <c r="H12" i="2"/>
  <c r="S12" i="2" s="1"/>
  <c r="G13" i="2"/>
  <c r="L13" i="2" s="1"/>
  <c r="H13" i="2"/>
  <c r="G14" i="2"/>
  <c r="L14" i="2" s="1"/>
  <c r="H14" i="2"/>
  <c r="G7" i="2"/>
  <c r="G4" i="2"/>
  <c r="G8" i="2"/>
  <c r="G5" i="2"/>
  <c r="G6" i="2"/>
  <c r="H7" i="2"/>
  <c r="H8" i="2"/>
  <c r="G3" i="2"/>
  <c r="L3" i="2" s="1"/>
  <c r="J2" i="1"/>
  <c r="H5" i="2"/>
  <c r="H4" i="2"/>
  <c r="H6" i="2"/>
  <c r="H3" i="2"/>
  <c r="J8" i="1"/>
  <c r="J9" i="1"/>
  <c r="J10" i="1"/>
  <c r="S14" i="2" l="1"/>
  <c r="S13" i="2"/>
  <c r="S7" i="2"/>
  <c r="L7" i="2"/>
  <c r="S3" i="2"/>
  <c r="S8" i="2"/>
  <c r="L4" i="2"/>
  <c r="L5" i="2"/>
  <c r="L8" i="2"/>
  <c r="L6" i="2"/>
  <c r="S5" i="2"/>
  <c r="S4" i="2"/>
  <c r="S6" i="2"/>
</calcChain>
</file>

<file path=xl/sharedStrings.xml><?xml version="1.0" encoding="utf-8"?>
<sst xmlns="http://schemas.openxmlformats.org/spreadsheetml/2006/main" count="137" uniqueCount="44">
  <si>
    <t>编号</t>
    <phoneticPr fontId="1" type="noConversion"/>
  </si>
  <si>
    <t>类型</t>
    <phoneticPr fontId="1" type="noConversion"/>
  </si>
  <si>
    <t>中文名称</t>
    <phoneticPr fontId="1" type="noConversion"/>
  </si>
  <si>
    <t>序号</t>
    <phoneticPr fontId="1" type="noConversion"/>
  </si>
  <si>
    <t>代号</t>
    <phoneticPr fontId="1" type="noConversion"/>
  </si>
  <si>
    <t>DI</t>
    <phoneticPr fontId="1" type="noConversion"/>
  </si>
  <si>
    <t>DO</t>
    <phoneticPr fontId="1" type="noConversion"/>
  </si>
  <si>
    <t>AI</t>
    <phoneticPr fontId="1" type="noConversion"/>
  </si>
  <si>
    <t>AQ</t>
    <phoneticPr fontId="1" type="noConversion"/>
  </si>
  <si>
    <t>名称</t>
    <phoneticPr fontId="1" type="noConversion"/>
  </si>
  <si>
    <t>01</t>
    <phoneticPr fontId="1" type="noConversion"/>
  </si>
  <si>
    <t>03</t>
  </si>
  <si>
    <t>02</t>
  </si>
  <si>
    <t>C</t>
    <phoneticPr fontId="1" type="noConversion"/>
  </si>
  <si>
    <t>功能</t>
    <phoneticPr fontId="1" type="noConversion"/>
  </si>
  <si>
    <t>变量名</t>
    <phoneticPr fontId="1" type="noConversion"/>
  </si>
  <si>
    <t>地址</t>
    <phoneticPr fontId="1" type="noConversion"/>
  </si>
  <si>
    <t>I0.1</t>
  </si>
  <si>
    <t>I0.2</t>
  </si>
  <si>
    <t>I0.3</t>
  </si>
  <si>
    <t>I0.4</t>
  </si>
  <si>
    <t>I0.5</t>
  </si>
  <si>
    <t>I0.0</t>
    <phoneticPr fontId="1" type="noConversion"/>
  </si>
  <si>
    <t>Q0.0</t>
    <phoneticPr fontId="1" type="noConversion"/>
  </si>
  <si>
    <t>Q0.1</t>
  </si>
  <si>
    <t>Q0.2</t>
  </si>
  <si>
    <t>Run</t>
    <phoneticPr fontId="1" type="noConversion"/>
  </si>
  <si>
    <t>Bool</t>
  </si>
  <si>
    <t>V</t>
    <phoneticPr fontId="1" type="noConversion"/>
  </si>
  <si>
    <t>P</t>
    <phoneticPr fontId="1" type="noConversion"/>
  </si>
  <si>
    <t>变频风机</t>
    <phoneticPr fontId="1" type="noConversion"/>
  </si>
  <si>
    <t>阀门</t>
    <phoneticPr fontId="1" type="noConversion"/>
  </si>
  <si>
    <t>压力计</t>
    <phoneticPr fontId="1" type="noConversion"/>
  </si>
  <si>
    <t>Press_Act</t>
    <phoneticPr fontId="1" type="noConversion"/>
  </si>
  <si>
    <t>Curr_Act</t>
    <phoneticPr fontId="1" type="noConversion"/>
  </si>
  <si>
    <t>Freq_Run</t>
    <phoneticPr fontId="1" type="noConversion"/>
  </si>
  <si>
    <t>IW100</t>
    <phoneticPr fontId="1" type="noConversion"/>
  </si>
  <si>
    <t>IW102</t>
    <phoneticPr fontId="1" type="noConversion"/>
  </si>
  <si>
    <t>QW100</t>
    <phoneticPr fontId="1" type="noConversion"/>
  </si>
  <si>
    <t>FB_OP</t>
  </si>
  <si>
    <t>FB_OP</t>
    <phoneticPr fontId="1" type="noConversion"/>
  </si>
  <si>
    <t>FB_CL</t>
  </si>
  <si>
    <t>FB_CL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</si>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</sst>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A7" sqref="A7"/>
    </sheetView>
  </sheetViews>
  <sheetFormatPr defaultColWidth="8.875" defaultRowHeight="19.899999999999999" customHeight="1" x14ac:dyDescent="0.3"/>
  <cols>
    <col min="1" max="2" width="8.875" style="1"/>
    <col min="3" max="3" width="23.25" style="1" customWidth="1"/>
    <col min="4" max="9" width="8.875" style="1"/>
    <col min="10" max="10" width="27.25" style="1" customWidth="1"/>
    <col min="11" max="16384" width="8.875" style="1"/>
  </cols>
  <sheetData>
    <row r="1" spans="1:10" ht="19.8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899999999999999" customHeight="1" x14ac:dyDescent="0.3">
      <c r="A2" s="1">
        <v>1</v>
      </c>
      <c r="B2" s="1" t="s">
        <v>13</v>
      </c>
      <c r="C2" s="1" t="s">
        <v>30</v>
      </c>
      <c r="D2" s="2" t="s">
        <v>10</v>
      </c>
      <c r="E2" s="1" t="str">
        <f>B2&amp;D2</f>
        <v>C01</v>
      </c>
      <c r="H2" s="1">
        <v>1</v>
      </c>
      <c r="I2" s="1">
        <v>1</v>
      </c>
      <c r="J2" s="1" t="str">
        <f>E2&amp;C2</f>
        <v>C01变频风机</v>
      </c>
    </row>
    <row r="3" spans="1:10" ht="19.899999999999999" customHeight="1" x14ac:dyDescent="0.3">
      <c r="A3" s="1">
        <v>2</v>
      </c>
      <c r="B3" s="1" t="s">
        <v>28</v>
      </c>
      <c r="C3" s="1" t="s">
        <v>31</v>
      </c>
      <c r="D3" s="2" t="s">
        <v>10</v>
      </c>
      <c r="E3" s="1" t="str">
        <f t="shared" ref="E3:E6" si="0">B3&amp;D3</f>
        <v>V01</v>
      </c>
      <c r="F3" s="1">
        <v>2</v>
      </c>
      <c r="G3" s="1">
        <v>1</v>
      </c>
      <c r="J3" s="1" t="str">
        <f t="shared" ref="J3:J6" si="1">E3&amp;C3</f>
        <v>V01阀门</v>
      </c>
    </row>
    <row r="4" spans="1:10" ht="19.899999999999999" customHeight="1" x14ac:dyDescent="0.3">
      <c r="A4" s="1">
        <v>3</v>
      </c>
      <c r="B4" s="1" t="s">
        <v>28</v>
      </c>
      <c r="C4" s="1" t="s">
        <v>31</v>
      </c>
      <c r="D4" s="2" t="s">
        <v>12</v>
      </c>
      <c r="E4" s="1" t="str">
        <f t="shared" si="0"/>
        <v>V02</v>
      </c>
      <c r="F4" s="1">
        <v>2</v>
      </c>
      <c r="G4" s="1">
        <v>1</v>
      </c>
      <c r="J4" s="1" t="str">
        <f t="shared" si="1"/>
        <v>V02阀门</v>
      </c>
    </row>
    <row r="5" spans="1:10" ht="19.899999999999999" customHeight="1" x14ac:dyDescent="0.3">
      <c r="A5" s="1">
        <v>4</v>
      </c>
      <c r="B5" s="1" t="s">
        <v>28</v>
      </c>
      <c r="C5" s="1" t="s">
        <v>31</v>
      </c>
      <c r="D5" s="2" t="s">
        <v>11</v>
      </c>
      <c r="E5" s="1" t="str">
        <f t="shared" si="0"/>
        <v>V03</v>
      </c>
      <c r="F5" s="1">
        <v>2</v>
      </c>
      <c r="G5" s="1">
        <v>1</v>
      </c>
      <c r="J5" s="1" t="str">
        <f t="shared" si="1"/>
        <v>V03阀门</v>
      </c>
    </row>
    <row r="6" spans="1:10" ht="19.899999999999999" customHeight="1" x14ac:dyDescent="0.3">
      <c r="A6" s="1">
        <v>5</v>
      </c>
      <c r="B6" s="1" t="s">
        <v>29</v>
      </c>
      <c r="C6" s="1" t="s">
        <v>32</v>
      </c>
      <c r="D6" s="2" t="s">
        <v>10</v>
      </c>
      <c r="E6" s="1" t="str">
        <f t="shared" si="0"/>
        <v>P01</v>
      </c>
      <c r="H6" s="1">
        <v>1</v>
      </c>
      <c r="J6" s="1" t="str">
        <f t="shared" si="1"/>
        <v>P01压力计</v>
      </c>
    </row>
    <row r="7" spans="1:10" ht="19.899999999999999" customHeight="1" x14ac:dyDescent="0.3">
      <c r="D7" s="2"/>
    </row>
    <row r="8" spans="1:10" ht="19.899999999999999" customHeight="1" x14ac:dyDescent="0.3">
      <c r="D8" s="2"/>
      <c r="J8" s="1" t="str">
        <f>E8&amp;C8</f>
        <v/>
      </c>
    </row>
    <row r="9" spans="1:10" ht="19.899999999999999" customHeight="1" x14ac:dyDescent="0.3">
      <c r="D9" s="2"/>
      <c r="J9" s="1" t="str">
        <f>E9&amp;C9</f>
        <v/>
      </c>
    </row>
    <row r="10" spans="1:10" ht="19.899999999999999" customHeight="1" x14ac:dyDescent="0.3">
      <c r="D10" s="2"/>
      <c r="J10" s="1" t="str">
        <f>E10&amp;C10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5045-D76C-490F-A8BE-A928879296EB}">
  <dimension ref="A1:S34"/>
  <sheetViews>
    <sheetView tabSelected="1" workbookViewId="0">
      <selection activeCell="A10" sqref="A10:H10"/>
    </sheetView>
  </sheetViews>
  <sheetFormatPr defaultColWidth="8.875" defaultRowHeight="19.899999999999999" customHeight="1" x14ac:dyDescent="0.3"/>
  <cols>
    <col min="1" max="1" width="14.875" style="1" customWidth="1"/>
    <col min="2" max="2" width="8.875" style="1"/>
    <col min="3" max="3" width="26.875" style="1" customWidth="1"/>
    <col min="4" max="5" width="8.875" style="1"/>
    <col min="6" max="6" width="16.5" style="1" customWidth="1"/>
    <col min="7" max="7" width="32.125" style="1" customWidth="1"/>
    <col min="8" max="8" width="17.5" style="1" customWidth="1"/>
    <col min="9" max="11" width="8.875" style="1"/>
    <col min="12" max="12" width="32.5" style="1" customWidth="1"/>
    <col min="13" max="13" width="13.125" style="1" customWidth="1"/>
    <col min="14" max="14" width="30.25" style="1" customWidth="1"/>
    <col min="15" max="18" width="8.875" style="1"/>
    <col min="19" max="19" width="25.5" style="1" customWidth="1"/>
    <col min="20" max="16384" width="8.875" style="1"/>
  </cols>
  <sheetData>
    <row r="1" spans="1:19" ht="19.899999999999999" customHeight="1" x14ac:dyDescent="0.3">
      <c r="A1" s="6" t="s">
        <v>5</v>
      </c>
      <c r="B1" s="6"/>
      <c r="C1" s="6"/>
      <c r="D1" s="6"/>
      <c r="E1" s="6"/>
      <c r="F1" s="6"/>
      <c r="G1" s="6"/>
      <c r="H1" s="6"/>
      <c r="I1" s="6"/>
    </row>
    <row r="2" spans="1:19" ht="19.899999999999999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14</v>
      </c>
      <c r="G2" s="1" t="s">
        <v>15</v>
      </c>
      <c r="H2" s="1" t="s">
        <v>9</v>
      </c>
      <c r="I2" s="1" t="s">
        <v>16</v>
      </c>
    </row>
    <row r="3" spans="1:19" ht="19.899999999999999" customHeight="1" x14ac:dyDescent="0.3">
      <c r="A3" s="1">
        <v>1</v>
      </c>
      <c r="B3" s="1" t="s">
        <v>28</v>
      </c>
      <c r="C3" s="1" t="s">
        <v>31</v>
      </c>
      <c r="D3" s="2" t="s">
        <v>10</v>
      </c>
      <c r="E3" s="1" t="str">
        <f t="shared" ref="E3" si="0">B3&amp;D3</f>
        <v>V01</v>
      </c>
      <c r="F3" s="1" t="s">
        <v>40</v>
      </c>
      <c r="G3" s="1" t="str">
        <f>E3&amp;"_"&amp;F3</f>
        <v>V01_FB_OP</v>
      </c>
      <c r="H3" s="1" t="str">
        <f>E3&amp;C3</f>
        <v>V01阀门</v>
      </c>
      <c r="I3" s="1" t="s">
        <v>22</v>
      </c>
      <c r="L3" s="1" t="str">
        <f>G3</f>
        <v>V01_FB_OP</v>
      </c>
      <c r="M3" s="1" t="s">
        <v>27</v>
      </c>
      <c r="N3" s="1" t="str">
        <f>"%"&amp;I3</f>
        <v>%I0.0</v>
      </c>
      <c r="O3" s="1" t="b">
        <v>0</v>
      </c>
      <c r="P3" s="1" t="b">
        <v>1</v>
      </c>
      <c r="Q3" s="1" t="b">
        <v>1</v>
      </c>
      <c r="R3" s="1" t="b">
        <v>1</v>
      </c>
      <c r="S3" s="1" t="str">
        <f>H3&amp;G3</f>
        <v>V01阀门V01_FB_OP</v>
      </c>
    </row>
    <row r="4" spans="1:19" ht="19.899999999999999" customHeight="1" x14ac:dyDescent="0.3">
      <c r="A4" s="1">
        <v>2</v>
      </c>
      <c r="B4" s="1" t="s">
        <v>28</v>
      </c>
      <c r="C4" s="1" t="s">
        <v>31</v>
      </c>
      <c r="D4" s="2" t="s">
        <v>10</v>
      </c>
      <c r="E4" s="1" t="str">
        <f t="shared" ref="E4:E5" si="1">B4&amp;D4</f>
        <v>V01</v>
      </c>
      <c r="F4" s="1" t="s">
        <v>42</v>
      </c>
      <c r="G4" s="1" t="str">
        <f>E4&amp;"_"&amp;F4</f>
        <v>V01_FB_CL</v>
      </c>
      <c r="H4" s="1" t="str">
        <f t="shared" ref="H4" si="2">E4&amp;C4</f>
        <v>V01阀门</v>
      </c>
      <c r="I4" s="1" t="s">
        <v>17</v>
      </c>
      <c r="L4" s="1" t="str">
        <f t="shared" ref="L4:L8" si="3">G4</f>
        <v>V01_FB_CL</v>
      </c>
      <c r="M4" s="1" t="s">
        <v>27</v>
      </c>
      <c r="N4" s="1" t="str">
        <f t="shared" ref="N4:N8" si="4">"%"&amp;I4</f>
        <v>%I0.1</v>
      </c>
      <c r="O4" s="1" t="b">
        <v>0</v>
      </c>
      <c r="P4" s="1" t="b">
        <v>1</v>
      </c>
      <c r="Q4" s="1" t="b">
        <v>1</v>
      </c>
      <c r="R4" s="1" t="b">
        <v>1</v>
      </c>
      <c r="S4" s="1" t="str">
        <f t="shared" ref="S4:S26" si="5">H4&amp;G4</f>
        <v>V01阀门V01_FB_CL</v>
      </c>
    </row>
    <row r="5" spans="1:19" ht="19.899999999999999" customHeight="1" x14ac:dyDescent="0.3">
      <c r="A5" s="1">
        <v>3</v>
      </c>
      <c r="B5" s="1" t="s">
        <v>28</v>
      </c>
      <c r="C5" s="1" t="s">
        <v>31</v>
      </c>
      <c r="D5" s="2" t="s">
        <v>12</v>
      </c>
      <c r="E5" s="1" t="str">
        <f t="shared" si="1"/>
        <v>V02</v>
      </c>
      <c r="F5" s="1" t="s">
        <v>39</v>
      </c>
      <c r="G5" s="1" t="str">
        <f t="shared" ref="G5:G8" si="6">E5&amp;"_"&amp;F5</f>
        <v>V02_FB_OP</v>
      </c>
      <c r="H5" s="1" t="str">
        <f t="shared" ref="H5" si="7">E5&amp;C5</f>
        <v>V02阀门</v>
      </c>
      <c r="I5" s="1" t="s">
        <v>18</v>
      </c>
      <c r="L5" s="1" t="str">
        <f t="shared" si="3"/>
        <v>V02_FB_OP</v>
      </c>
      <c r="M5" s="1" t="s">
        <v>27</v>
      </c>
      <c r="N5" s="1" t="str">
        <f t="shared" si="4"/>
        <v>%I0.2</v>
      </c>
      <c r="O5" s="1" t="b">
        <v>0</v>
      </c>
      <c r="P5" s="1" t="b">
        <v>1</v>
      </c>
      <c r="Q5" s="1" t="b">
        <v>1</v>
      </c>
      <c r="R5" s="1" t="b">
        <v>1</v>
      </c>
      <c r="S5" s="1" t="str">
        <f t="shared" si="5"/>
        <v>V02阀门V02_FB_OP</v>
      </c>
    </row>
    <row r="6" spans="1:19" ht="19.899999999999999" customHeight="1" x14ac:dyDescent="0.3">
      <c r="A6" s="1">
        <v>4</v>
      </c>
      <c r="B6" s="1" t="s">
        <v>28</v>
      </c>
      <c r="C6" s="1" t="s">
        <v>31</v>
      </c>
      <c r="D6" s="2" t="s">
        <v>12</v>
      </c>
      <c r="E6" s="1" t="str">
        <f t="shared" ref="E6" si="8">B6&amp;D6</f>
        <v>V02</v>
      </c>
      <c r="F6" s="1" t="s">
        <v>41</v>
      </c>
      <c r="G6" s="1" t="str">
        <f t="shared" si="6"/>
        <v>V02_FB_CL</v>
      </c>
      <c r="H6" s="1" t="str">
        <f>E6&amp;C6</f>
        <v>V02阀门</v>
      </c>
      <c r="I6" s="1" t="s">
        <v>19</v>
      </c>
      <c r="L6" s="1" t="str">
        <f t="shared" si="3"/>
        <v>V02_FB_CL</v>
      </c>
      <c r="M6" s="1" t="s">
        <v>27</v>
      </c>
      <c r="N6" s="1" t="str">
        <f t="shared" si="4"/>
        <v>%I0.3</v>
      </c>
      <c r="O6" s="1" t="b">
        <v>0</v>
      </c>
      <c r="P6" s="1" t="b">
        <v>1</v>
      </c>
      <c r="Q6" s="1" t="b">
        <v>1</v>
      </c>
      <c r="R6" s="1" t="b">
        <v>1</v>
      </c>
      <c r="S6" s="1" t="str">
        <f t="shared" si="5"/>
        <v>V02阀门V02_FB_CL</v>
      </c>
    </row>
    <row r="7" spans="1:19" ht="19.899999999999999" customHeight="1" x14ac:dyDescent="0.3">
      <c r="A7" s="1">
        <v>5</v>
      </c>
      <c r="B7" s="1" t="s">
        <v>28</v>
      </c>
      <c r="C7" s="1" t="s">
        <v>31</v>
      </c>
      <c r="D7" s="2" t="s">
        <v>11</v>
      </c>
      <c r="E7" s="1" t="str">
        <f t="shared" ref="E7:E8" si="9">B7&amp;D7</f>
        <v>V03</v>
      </c>
      <c r="F7" s="1" t="s">
        <v>39</v>
      </c>
      <c r="G7" s="1" t="str">
        <f t="shared" si="6"/>
        <v>V03_FB_OP</v>
      </c>
      <c r="H7" s="1" t="str">
        <f>E7&amp;C7</f>
        <v>V03阀门</v>
      </c>
      <c r="I7" s="1" t="s">
        <v>20</v>
      </c>
      <c r="L7" s="1" t="str">
        <f t="shared" si="3"/>
        <v>V03_FB_OP</v>
      </c>
      <c r="M7" s="1" t="s">
        <v>27</v>
      </c>
      <c r="N7" s="1" t="str">
        <f t="shared" si="4"/>
        <v>%I0.4</v>
      </c>
      <c r="O7" s="1" t="b">
        <v>0</v>
      </c>
      <c r="P7" s="1" t="b">
        <v>1</v>
      </c>
      <c r="Q7" s="1" t="b">
        <v>1</v>
      </c>
      <c r="R7" s="1" t="b">
        <v>1</v>
      </c>
      <c r="S7" s="1" t="str">
        <f t="shared" si="5"/>
        <v>V03阀门V03_FB_OP</v>
      </c>
    </row>
    <row r="8" spans="1:19" ht="19.899999999999999" customHeight="1" x14ac:dyDescent="0.3">
      <c r="A8" s="1">
        <v>6</v>
      </c>
      <c r="B8" s="1" t="s">
        <v>28</v>
      </c>
      <c r="C8" s="1" t="s">
        <v>31</v>
      </c>
      <c r="D8" s="2" t="s">
        <v>11</v>
      </c>
      <c r="E8" s="1" t="str">
        <f t="shared" si="9"/>
        <v>V03</v>
      </c>
      <c r="F8" s="1" t="s">
        <v>42</v>
      </c>
      <c r="G8" s="1" t="str">
        <f t="shared" si="6"/>
        <v>V03_FB_CL</v>
      </c>
      <c r="H8" s="1" t="str">
        <f t="shared" ref="H8" si="10">E8&amp;C8</f>
        <v>V03阀门</v>
      </c>
      <c r="I8" s="1" t="s">
        <v>21</v>
      </c>
      <c r="L8" s="1" t="str">
        <f t="shared" si="3"/>
        <v>V03_FB_CL</v>
      </c>
      <c r="M8" s="1" t="s">
        <v>27</v>
      </c>
      <c r="N8" s="1" t="str">
        <f t="shared" si="4"/>
        <v>%I0.5</v>
      </c>
      <c r="O8" s="1" t="b">
        <v>0</v>
      </c>
      <c r="P8" s="1" t="b">
        <v>1</v>
      </c>
      <c r="Q8" s="1" t="b">
        <v>1</v>
      </c>
      <c r="R8" s="1" t="b">
        <v>1</v>
      </c>
      <c r="S8" s="1" t="str">
        <f t="shared" si="5"/>
        <v>V03阀门V03_FB_CL</v>
      </c>
    </row>
    <row r="9" spans="1:19" ht="19.899999999999999" customHeight="1" x14ac:dyDescent="0.3">
      <c r="D9" s="2"/>
    </row>
    <row r="10" spans="1:19" ht="19.899999999999999" customHeight="1" x14ac:dyDescent="0.3">
      <c r="A10" s="7" t="s">
        <v>6</v>
      </c>
      <c r="B10" s="7"/>
      <c r="C10" s="7"/>
      <c r="D10" s="7"/>
      <c r="E10" s="7"/>
      <c r="F10" s="7"/>
      <c r="G10" s="7"/>
      <c r="H10" s="7"/>
      <c r="I10" s="3"/>
      <c r="S10" s="1" t="str">
        <f>H10&amp;G10</f>
        <v/>
      </c>
    </row>
    <row r="11" spans="1:19" ht="19.899999999999999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14</v>
      </c>
      <c r="G11" s="1" t="s">
        <v>15</v>
      </c>
      <c r="H11" s="1" t="s">
        <v>9</v>
      </c>
      <c r="I11" s="1" t="s">
        <v>16</v>
      </c>
    </row>
    <row r="12" spans="1:19" ht="19.899999999999999" customHeight="1" x14ac:dyDescent="0.3">
      <c r="A12" s="1">
        <v>1</v>
      </c>
      <c r="B12" s="1" t="s">
        <v>28</v>
      </c>
      <c r="C12" s="1" t="s">
        <v>31</v>
      </c>
      <c r="D12" s="2" t="s">
        <v>10</v>
      </c>
      <c r="E12" s="1" t="str">
        <f t="shared" ref="E12" si="11">B12&amp;D12</f>
        <v>V01</v>
      </c>
      <c r="F12" s="1" t="s">
        <v>26</v>
      </c>
      <c r="G12" s="1" t="str">
        <f>E12&amp;"_"&amp;F12</f>
        <v>V01_Run</v>
      </c>
      <c r="H12" s="1" t="str">
        <f>E12&amp;C12</f>
        <v>V01阀门</v>
      </c>
      <c r="I12" s="1" t="s">
        <v>23</v>
      </c>
      <c r="L12" s="1" t="str">
        <f>G12</f>
        <v>V01_Run</v>
      </c>
      <c r="M12" s="1" t="s">
        <v>27</v>
      </c>
      <c r="N12" s="1" t="str">
        <f>"%"&amp;I12</f>
        <v>%Q0.0</v>
      </c>
      <c r="O12" s="1" t="b">
        <v>0</v>
      </c>
      <c r="P12" s="1" t="b">
        <v>1</v>
      </c>
      <c r="Q12" s="1" t="b">
        <v>1</v>
      </c>
      <c r="R12" s="1" t="b">
        <v>1</v>
      </c>
      <c r="S12" s="1" t="str">
        <f>H12&amp;G12</f>
        <v>V01阀门V01_Run</v>
      </c>
    </row>
    <row r="13" spans="1:19" ht="19.899999999999999" customHeight="1" x14ac:dyDescent="0.3">
      <c r="A13" s="1">
        <v>2</v>
      </c>
      <c r="B13" s="1" t="s">
        <v>28</v>
      </c>
      <c r="C13" s="1" t="s">
        <v>31</v>
      </c>
      <c r="D13" s="2" t="s">
        <v>12</v>
      </c>
      <c r="E13" s="1" t="str">
        <f t="shared" ref="E13" si="12">B13&amp;D13</f>
        <v>V02</v>
      </c>
      <c r="F13" s="1" t="s">
        <v>26</v>
      </c>
      <c r="G13" s="1" t="str">
        <f>E13&amp;"_"&amp;F13</f>
        <v>V02_Run</v>
      </c>
      <c r="H13" s="1" t="str">
        <f>E13&amp;C13</f>
        <v>V02阀门</v>
      </c>
      <c r="I13" s="1" t="s">
        <v>24</v>
      </c>
      <c r="L13" s="1" t="str">
        <f>G13</f>
        <v>V02_Run</v>
      </c>
      <c r="M13" s="1" t="s">
        <v>27</v>
      </c>
      <c r="N13" s="1" t="str">
        <f>"%"&amp;I13</f>
        <v>%Q0.1</v>
      </c>
      <c r="O13" s="1" t="b">
        <v>0</v>
      </c>
      <c r="P13" s="1" t="b">
        <v>1</v>
      </c>
      <c r="Q13" s="1" t="b">
        <v>1</v>
      </c>
      <c r="R13" s="1" t="b">
        <v>1</v>
      </c>
      <c r="S13" s="1" t="str">
        <f>H13&amp;G13</f>
        <v>V02阀门V02_Run</v>
      </c>
    </row>
    <row r="14" spans="1:19" ht="19.899999999999999" customHeight="1" x14ac:dyDescent="0.3">
      <c r="A14" s="1">
        <v>3</v>
      </c>
      <c r="B14" s="1" t="s">
        <v>28</v>
      </c>
      <c r="C14" s="1" t="s">
        <v>31</v>
      </c>
      <c r="D14" s="2" t="s">
        <v>11</v>
      </c>
      <c r="E14" s="1" t="str">
        <f>B14&amp;D14</f>
        <v>V03</v>
      </c>
      <c r="F14" s="1" t="s">
        <v>26</v>
      </c>
      <c r="G14" s="1" t="str">
        <f>E14&amp;"_"&amp;F14</f>
        <v>V03_Run</v>
      </c>
      <c r="H14" s="1" t="str">
        <f>E14&amp;C14</f>
        <v>V03阀门</v>
      </c>
      <c r="I14" s="1" t="s">
        <v>25</v>
      </c>
      <c r="L14" s="1" t="str">
        <f>G14</f>
        <v>V03_Run</v>
      </c>
      <c r="M14" s="1" t="s">
        <v>27</v>
      </c>
      <c r="N14" s="1" t="str">
        <f>"%"&amp;I14</f>
        <v>%Q0.2</v>
      </c>
      <c r="O14" s="1" t="b">
        <v>0</v>
      </c>
      <c r="P14" s="1" t="b">
        <v>1</v>
      </c>
      <c r="Q14" s="1" t="b">
        <v>1</v>
      </c>
      <c r="R14" s="1" t="b">
        <v>1</v>
      </c>
      <c r="S14" s="1" t="str">
        <f>H14&amp;G14</f>
        <v>V03阀门V03_Run</v>
      </c>
    </row>
    <row r="15" spans="1:19" ht="19.899999999999999" customHeight="1" x14ac:dyDescent="0.3">
      <c r="D15" s="2"/>
    </row>
    <row r="16" spans="1:19" ht="19.899999999999999" customHeight="1" x14ac:dyDescent="0.3">
      <c r="A16" s="8" t="s">
        <v>7</v>
      </c>
      <c r="B16" s="8"/>
      <c r="C16" s="8"/>
      <c r="D16" s="8"/>
      <c r="E16" s="8"/>
      <c r="F16" s="8"/>
      <c r="G16" s="8"/>
      <c r="H16" s="8"/>
      <c r="I16" s="4"/>
    </row>
    <row r="17" spans="1:19" ht="19.899999999999999" customHeight="1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14</v>
      </c>
      <c r="G17" s="1" t="s">
        <v>15</v>
      </c>
      <c r="H17" s="1" t="s">
        <v>9</v>
      </c>
      <c r="I17" s="1" t="s">
        <v>16</v>
      </c>
    </row>
    <row r="18" spans="1:19" ht="19.899999999999999" customHeight="1" x14ac:dyDescent="0.3">
      <c r="A18" s="1">
        <v>1</v>
      </c>
      <c r="B18" s="1" t="s">
        <v>29</v>
      </c>
      <c r="C18" s="1" t="s">
        <v>32</v>
      </c>
      <c r="D18" s="2" t="s">
        <v>10</v>
      </c>
      <c r="E18" s="1" t="str">
        <f t="shared" ref="E18" si="13">B18&amp;D18</f>
        <v>P01</v>
      </c>
      <c r="F18" s="1" t="s">
        <v>33</v>
      </c>
      <c r="G18" s="1" t="str">
        <f>E18&amp;"_"&amp;F18</f>
        <v>P01_Press_Act</v>
      </c>
      <c r="H18" s="1" t="str">
        <f>E18&amp;C18</f>
        <v>P01压力计</v>
      </c>
      <c r="I18" s="1" t="s">
        <v>36</v>
      </c>
      <c r="L18" s="1" t="str">
        <f t="shared" ref="L18:L19" si="14">G18</f>
        <v>P01_Press_Act</v>
      </c>
      <c r="M18" s="1" t="s">
        <v>43</v>
      </c>
      <c r="N18" s="1" t="str">
        <f t="shared" ref="N18:N19" si="15">"%"&amp;I18</f>
        <v>%IW100</v>
      </c>
      <c r="O18" s="1" t="b">
        <v>0</v>
      </c>
      <c r="P18" s="1" t="b">
        <v>1</v>
      </c>
      <c r="Q18" s="1" t="b">
        <v>1</v>
      </c>
      <c r="R18" s="1" t="b">
        <v>1</v>
      </c>
      <c r="S18" s="1" t="str">
        <f t="shared" ref="S18:S19" si="16">H18&amp;G18</f>
        <v>P01压力计P01_Press_Act</v>
      </c>
    </row>
    <row r="19" spans="1:19" ht="19.899999999999999" customHeight="1" x14ac:dyDescent="0.3">
      <c r="A19" s="1">
        <v>2</v>
      </c>
      <c r="B19" s="1" t="s">
        <v>13</v>
      </c>
      <c r="C19" s="1" t="s">
        <v>30</v>
      </c>
      <c r="D19" s="2" t="s">
        <v>10</v>
      </c>
      <c r="E19" s="1" t="str">
        <f>B19&amp;D19</f>
        <v>C01</v>
      </c>
      <c r="F19" s="1" t="s">
        <v>34</v>
      </c>
      <c r="G19" s="1" t="str">
        <f>E19&amp;"_"&amp;F19</f>
        <v>C01_Curr_Act</v>
      </c>
      <c r="H19" s="1" t="str">
        <f>E19&amp;C19</f>
        <v>C01变频风机</v>
      </c>
      <c r="I19" s="1" t="s">
        <v>37</v>
      </c>
      <c r="L19" s="1" t="str">
        <f t="shared" si="14"/>
        <v>C01_Curr_Act</v>
      </c>
      <c r="M19" s="1" t="s">
        <v>43</v>
      </c>
      <c r="N19" s="1" t="str">
        <f t="shared" si="15"/>
        <v>%IW102</v>
      </c>
      <c r="O19" s="1" t="b">
        <v>0</v>
      </c>
      <c r="P19" s="1" t="b">
        <v>1</v>
      </c>
      <c r="Q19" s="1" t="b">
        <v>1</v>
      </c>
      <c r="R19" s="1" t="b">
        <v>1</v>
      </c>
      <c r="S19" s="1" t="str">
        <f t="shared" si="16"/>
        <v>C01变频风机C01_Curr_Act</v>
      </c>
    </row>
    <row r="20" spans="1:19" ht="19.899999999999999" customHeight="1" x14ac:dyDescent="0.3">
      <c r="D20" s="2"/>
    </row>
    <row r="21" spans="1:19" ht="19.899999999999999" customHeight="1" x14ac:dyDescent="0.3">
      <c r="A21" s="9" t="s">
        <v>8</v>
      </c>
      <c r="B21" s="9"/>
      <c r="C21" s="9"/>
      <c r="D21" s="9"/>
      <c r="E21" s="9"/>
      <c r="F21" s="9"/>
      <c r="G21" s="9"/>
      <c r="H21" s="9"/>
      <c r="I21" s="5"/>
    </row>
    <row r="22" spans="1:19" ht="19.899999999999999" customHeight="1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14</v>
      </c>
      <c r="G22" s="1" t="s">
        <v>15</v>
      </c>
      <c r="H22" s="1" t="s">
        <v>9</v>
      </c>
      <c r="I22" s="1" t="s">
        <v>16</v>
      </c>
    </row>
    <row r="23" spans="1:19" ht="19.899999999999999" customHeight="1" x14ac:dyDescent="0.3">
      <c r="A23" s="1">
        <v>1</v>
      </c>
      <c r="B23" s="1" t="s">
        <v>13</v>
      </c>
      <c r="C23" s="1" t="s">
        <v>30</v>
      </c>
      <c r="D23" s="2" t="s">
        <v>10</v>
      </c>
      <c r="E23" s="1" t="str">
        <f>B23&amp;D23</f>
        <v>C01</v>
      </c>
      <c r="F23" s="1" t="s">
        <v>35</v>
      </c>
      <c r="G23" s="1" t="str">
        <f>E23&amp;"_"&amp;F23</f>
        <v>C01_Freq_Run</v>
      </c>
      <c r="H23" s="1" t="str">
        <f>E23&amp;C23</f>
        <v>C01变频风机</v>
      </c>
      <c r="I23" s="1" t="s">
        <v>38</v>
      </c>
      <c r="L23" s="1" t="str">
        <f t="shared" ref="L23" si="17">G23</f>
        <v>C01_Freq_Run</v>
      </c>
      <c r="M23" s="1" t="s">
        <v>43</v>
      </c>
      <c r="N23" s="1" t="str">
        <f t="shared" ref="N23" si="18">"%"&amp;I23</f>
        <v>%QW100</v>
      </c>
      <c r="O23" s="1" t="b">
        <v>0</v>
      </c>
      <c r="P23" s="1" t="b">
        <v>1</v>
      </c>
      <c r="Q23" s="1" t="b">
        <v>1</v>
      </c>
      <c r="R23" s="1" t="b">
        <v>1</v>
      </c>
      <c r="S23" s="1" t="str">
        <f t="shared" ref="S23" si="19">H23&amp;G23</f>
        <v>C01变频风机C01_Freq_Run</v>
      </c>
    </row>
    <row r="24" spans="1:19" ht="19.899999999999999" customHeight="1" x14ac:dyDescent="0.3">
      <c r="D24" s="2"/>
    </row>
    <row r="25" spans="1:19" ht="19.899999999999999" customHeight="1" x14ac:dyDescent="0.3">
      <c r="H25" s="1" t="str">
        <f t="shared" ref="H25" si="20">E25&amp;C25</f>
        <v/>
      </c>
      <c r="S25" s="1" t="str">
        <f t="shared" si="5"/>
        <v/>
      </c>
    </row>
    <row r="26" spans="1:19" ht="19.899999999999999" customHeight="1" x14ac:dyDescent="0.3">
      <c r="S26" s="1" t="str">
        <f t="shared" si="5"/>
        <v/>
      </c>
    </row>
    <row r="32" spans="1:19" ht="19.899999999999999" customHeight="1" x14ac:dyDescent="0.3">
      <c r="D32" s="2"/>
    </row>
    <row r="33" spans="4:4" ht="19.899999999999999" customHeight="1" x14ac:dyDescent="0.3">
      <c r="D33" s="2"/>
    </row>
    <row r="34" spans="4:4" ht="19.899999999999999" customHeight="1" x14ac:dyDescent="0.3">
      <c r="D34" s="2"/>
    </row>
  </sheetData>
  <mergeCells count="4">
    <mergeCell ref="A1:I1"/>
    <mergeCell ref="A10:H10"/>
    <mergeCell ref="A16:H16"/>
    <mergeCell ref="A21:H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设备清单</vt:lpstr>
      <vt:lpstr>点位表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无空</dc:creator>
  <cp:lastModifiedBy>无空</cp:lastModifiedBy>
  <dcterms:created xsi:type="dcterms:W3CDTF">2015-06-05T18:19:34Z</dcterms:created>
  <dcterms:modified xsi:type="dcterms:W3CDTF">2026-08-25T13:04:26Z</dcterms:modified>
</cp:coreProperties>
</file>